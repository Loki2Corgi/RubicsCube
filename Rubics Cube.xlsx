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niel\Dev sync\Python\RubicsCube\"/>
    </mc:Choice>
  </mc:AlternateContent>
  <xr:revisionPtr revIDLastSave="0" documentId="13_ncr:1_{B8C671DF-5C07-4913-BF3C-6840BE7F41AA}" xr6:coauthVersionLast="47" xr6:coauthVersionMax="47" xr10:uidLastSave="{00000000-0000-0000-0000-000000000000}"/>
  <bookViews>
    <workbookView xWindow="-120" yWindow="-120" windowWidth="29040" windowHeight="15720" activeTab="2" xr2:uid="{E2D7D174-5815-4FAD-8B7F-0C19C55A116F}"/>
  </bookViews>
  <sheets>
    <sheet name="CFOP (Fridrich)" sheetId="2" r:id="rId1"/>
    <sheet name="BitMapping" sheetId="4" r:id="rId2"/>
    <sheet name="Orientierung" sheetId="7" r:id="rId3"/>
    <sheet name="Begriffe" sheetId="3" r:id="rId4"/>
    <sheet name="Moves" sheetId="6" r:id="rId5"/>
    <sheet name="Tabelle2"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7" i="8" l="1"/>
  <c r="J48" i="8"/>
  <c r="J49" i="8"/>
  <c r="J50" i="8"/>
  <c r="J51" i="8"/>
  <c r="J52" i="8"/>
  <c r="J53" i="8"/>
  <c r="J46" i="8"/>
  <c r="AJ70" i="8"/>
  <c r="AL69" i="8"/>
  <c r="AM69" i="8"/>
  <c r="AN69" i="8"/>
  <c r="AL70" i="8"/>
  <c r="AM70" i="8"/>
  <c r="AN70" i="8"/>
  <c r="AL75" i="8" s="1"/>
  <c r="AN71" i="8"/>
  <c r="AM71" i="8"/>
  <c r="AL71" i="8"/>
  <c r="AI69" i="8"/>
  <c r="AJ69" i="8"/>
  <c r="AK69" i="8"/>
  <c r="AI70" i="8"/>
  <c r="AK70" i="8"/>
  <c r="AK71" i="8"/>
  <c r="AJ71" i="8"/>
  <c r="AI71" i="8"/>
  <c r="AF69" i="8"/>
  <c r="AG69" i="8"/>
  <c r="AH69" i="8"/>
  <c r="AF70" i="8"/>
  <c r="AG70" i="8"/>
  <c r="AH70" i="8"/>
  <c r="AH71" i="8"/>
  <c r="AG71" i="8"/>
  <c r="AF71" i="8"/>
  <c r="AF76" i="8" s="1"/>
  <c r="AC46" i="8"/>
  <c r="AC47" i="8"/>
  <c r="AC48" i="8"/>
  <c r="AC49" i="8"/>
  <c r="AC50" i="8"/>
  <c r="AC51" i="8"/>
  <c r="AC52" i="8"/>
  <c r="AC53" i="8"/>
  <c r="AC35" i="8"/>
  <c r="AC36" i="8"/>
  <c r="AC37" i="8"/>
  <c r="AC38" i="8"/>
  <c r="AC39" i="8"/>
  <c r="AC40" i="8"/>
  <c r="AC41" i="8"/>
  <c r="AC42" i="8"/>
  <c r="AC43" i="8"/>
  <c r="AC44" i="8"/>
  <c r="AC45" i="8"/>
  <c r="AC34" i="8"/>
  <c r="S48" i="8"/>
  <c r="S49" i="8"/>
  <c r="S50" i="8"/>
  <c r="S51" i="8"/>
  <c r="S52" i="8"/>
  <c r="S53" i="8"/>
  <c r="S34" i="8"/>
  <c r="S35" i="8"/>
  <c r="S36" i="8"/>
  <c r="S37" i="8"/>
  <c r="S38" i="8"/>
  <c r="S39" i="8"/>
  <c r="S40" i="8"/>
  <c r="S41" i="8"/>
  <c r="S42" i="8"/>
  <c r="S43" i="8"/>
  <c r="S44" i="8"/>
  <c r="S45" i="8"/>
  <c r="S46" i="8"/>
  <c r="S47" i="8"/>
  <c r="B22" i="4"/>
  <c r="C20" i="4"/>
  <c r="D20" i="4"/>
  <c r="E20" i="4"/>
  <c r="F20" i="4"/>
  <c r="G20" i="4"/>
  <c r="H20" i="4"/>
  <c r="I20" i="4"/>
  <c r="B20" i="4"/>
  <c r="C7" i="4"/>
  <c r="D7" i="4"/>
  <c r="B9" i="4" s="1"/>
  <c r="E7" i="4"/>
  <c r="F7" i="4"/>
  <c r="G7" i="4"/>
  <c r="H7" i="4"/>
  <c r="I7" i="4"/>
  <c r="J7" i="4"/>
  <c r="K7" i="4"/>
  <c r="L7" i="4"/>
  <c r="M7" i="4"/>
  <c r="B7" i="4"/>
  <c r="G4" i="6"/>
  <c r="F4" i="6"/>
  <c r="E4" i="6"/>
  <c r="D4" i="6"/>
  <c r="C4" i="6"/>
  <c r="B4" i="6"/>
  <c r="G3" i="6"/>
  <c r="F3" i="6"/>
  <c r="E3" i="6"/>
  <c r="D3" i="6"/>
  <c r="C3" i="6"/>
  <c r="B3" i="6"/>
  <c r="D7" i="3"/>
  <c r="D8" i="3"/>
  <c r="D9" i="3"/>
  <c r="D10" i="3"/>
  <c r="D11" i="3"/>
  <c r="D6" i="3"/>
  <c r="C7" i="3"/>
  <c r="C8" i="3"/>
  <c r="C9" i="3"/>
  <c r="C10" i="3"/>
  <c r="C11" i="3"/>
  <c r="C6" i="3"/>
  <c r="AE34" i="8" l="1"/>
  <c r="AI74" i="8"/>
  <c r="AF74" i="8"/>
  <c r="AL76" i="8"/>
  <c r="AI76" i="8"/>
  <c r="AL74" i="8"/>
  <c r="AF75" i="8"/>
  <c r="AI75" i="8"/>
</calcChain>
</file>

<file path=xl/sharedStrings.xml><?xml version="1.0" encoding="utf-8"?>
<sst xmlns="http://schemas.openxmlformats.org/spreadsheetml/2006/main" count="386" uniqueCount="230">
  <si>
    <t>C-F-O-P</t>
  </si>
  <si>
    <t>C</t>
  </si>
  <si>
    <t>F</t>
  </si>
  <si>
    <t>O</t>
  </si>
  <si>
    <t>P</t>
  </si>
  <si>
    <t>Cross</t>
  </si>
  <si>
    <t>F2L</t>
  </si>
  <si>
    <t>OLL</t>
  </si>
  <si>
    <t>PLL</t>
  </si>
  <si>
    <t>Benannt nach den Methoden der Einzelschrittte:</t>
  </si>
  <si>
    <r>
      <rPr>
        <b/>
        <sz val="11"/>
        <color theme="5" tint="-0.249977111117893"/>
        <rFont val="Calibri"/>
        <family val="2"/>
        <scheme val="minor"/>
      </rPr>
      <t>F</t>
    </r>
    <r>
      <rPr>
        <sz val="11"/>
        <color theme="1"/>
        <rFont val="Calibri"/>
        <family val="2"/>
        <scheme val="minor"/>
      </rPr>
      <t>irst</t>
    </r>
    <r>
      <rPr>
        <b/>
        <sz val="11"/>
        <color theme="5" tint="-0.249977111117893"/>
        <rFont val="Calibri"/>
        <family val="2"/>
        <scheme val="minor"/>
      </rPr>
      <t>2L</t>
    </r>
    <r>
      <rPr>
        <sz val="11"/>
        <color theme="1"/>
        <rFont val="Calibri"/>
        <family val="2"/>
        <scheme val="minor"/>
      </rPr>
      <t>ayers</t>
    </r>
  </si>
  <si>
    <r>
      <rPr>
        <b/>
        <sz val="11"/>
        <color theme="5" tint="-0.249977111117893"/>
        <rFont val="Calibri"/>
        <family val="2"/>
        <scheme val="minor"/>
      </rPr>
      <t>O</t>
    </r>
    <r>
      <rPr>
        <sz val="11"/>
        <color theme="1"/>
        <rFont val="Calibri"/>
        <family val="2"/>
        <scheme val="minor"/>
      </rPr>
      <t xml:space="preserve">rientation of the </t>
    </r>
    <r>
      <rPr>
        <b/>
        <sz val="11"/>
        <color theme="5" tint="-0.249977111117893"/>
        <rFont val="Calibri"/>
        <family val="2"/>
        <scheme val="minor"/>
      </rPr>
      <t>L</t>
    </r>
    <r>
      <rPr>
        <sz val="11"/>
        <color theme="1"/>
        <rFont val="Calibri"/>
        <family val="2"/>
        <scheme val="minor"/>
      </rPr>
      <t xml:space="preserve">ast </t>
    </r>
    <r>
      <rPr>
        <b/>
        <sz val="11"/>
        <color theme="5" tint="-0.249977111117893"/>
        <rFont val="Calibri"/>
        <family val="2"/>
        <scheme val="minor"/>
      </rPr>
      <t>L</t>
    </r>
    <r>
      <rPr>
        <sz val="11"/>
        <color theme="1"/>
        <rFont val="Calibri"/>
        <family val="2"/>
        <scheme val="minor"/>
      </rPr>
      <t>ayer</t>
    </r>
  </si>
  <si>
    <t>Schritt 1</t>
  </si>
  <si>
    <t>Schritt 2</t>
  </si>
  <si>
    <t>Schritt 3</t>
  </si>
  <si>
    <t>Schritt 4</t>
  </si>
  <si>
    <t>Weißes Kreuz am Boden</t>
  </si>
  <si>
    <t>Untere Ecken und Mittelsteine</t>
  </si>
  <si>
    <t>Oberste Ebene: Alle an richtiger Position</t>
  </si>
  <si>
    <t>Oberste Ebene: Alle in richtiger Richtung (gelb nach oben)</t>
  </si>
  <si>
    <r>
      <rPr>
        <b/>
        <sz val="11"/>
        <color theme="5" tint="-0.249977111117893"/>
        <rFont val="Calibri"/>
        <family val="2"/>
        <scheme val="minor"/>
      </rPr>
      <t>P</t>
    </r>
    <r>
      <rPr>
        <sz val="11"/>
        <rFont val="Calibri"/>
        <family val="2"/>
        <scheme val="minor"/>
      </rPr>
      <t>ermutation</t>
    </r>
    <r>
      <rPr>
        <b/>
        <sz val="11"/>
        <color theme="5" tint="-0.249977111117893"/>
        <rFont val="Calibri"/>
        <family val="2"/>
        <scheme val="minor"/>
      </rPr>
      <t xml:space="preserve"> </t>
    </r>
    <r>
      <rPr>
        <sz val="11"/>
        <color theme="1"/>
        <rFont val="Calibri"/>
        <family val="2"/>
        <scheme val="minor"/>
      </rPr>
      <t xml:space="preserve"> of the </t>
    </r>
    <r>
      <rPr>
        <b/>
        <sz val="11"/>
        <color theme="5" tint="-0.249977111117893"/>
        <rFont val="Calibri"/>
        <family val="2"/>
        <scheme val="minor"/>
      </rPr>
      <t>L</t>
    </r>
    <r>
      <rPr>
        <sz val="11"/>
        <color theme="1"/>
        <rFont val="Calibri"/>
        <family val="2"/>
        <scheme val="minor"/>
      </rPr>
      <t xml:space="preserve">ast </t>
    </r>
    <r>
      <rPr>
        <b/>
        <sz val="11"/>
        <color theme="5" tint="-0.249977111117893"/>
        <rFont val="Calibri"/>
        <family val="2"/>
        <scheme val="minor"/>
      </rPr>
      <t>L</t>
    </r>
    <r>
      <rPr>
        <sz val="11"/>
        <color theme="1"/>
        <rFont val="Calibri"/>
        <family val="2"/>
        <scheme val="minor"/>
      </rPr>
      <t>ayer</t>
    </r>
  </si>
  <si>
    <t>Konjugat</t>
  </si>
  <si>
    <t>Kommutator</t>
  </si>
  <si>
    <t>B</t>
  </si>
  <si>
    <t>A B A'</t>
  </si>
  <si>
    <t>Mach Schritt A, dann Schritt B, dann Schritt A invertiert</t>
  </si>
  <si>
    <t>Mach Schritt A, dann Schritt B, dann beides invertiert</t>
  </si>
  <si>
    <t>A B A' B'</t>
  </si>
  <si>
    <t>A (invertiert)</t>
  </si>
  <si>
    <t>B (invertiert)</t>
  </si>
  <si>
    <t>A</t>
  </si>
  <si>
    <t>Aktuelle Position</t>
  </si>
  <si>
    <t>Optimale Position</t>
  </si>
  <si>
    <t>Schlüssel</t>
  </si>
  <si>
    <t>Oben</t>
  </si>
  <si>
    <t>Mitte</t>
  </si>
  <si>
    <t>Unten</t>
  </si>
  <si>
    <t>U</t>
  </si>
  <si>
    <t>Pos 11</t>
  </si>
  <si>
    <t>Pos 10</t>
  </si>
  <si>
    <t>Pos 9</t>
  </si>
  <si>
    <t>Pos 8</t>
  </si>
  <si>
    <t>Pos 6</t>
  </si>
  <si>
    <t>Pos 5</t>
  </si>
  <si>
    <t>Pos 7</t>
  </si>
  <si>
    <t>Pos 4</t>
  </si>
  <si>
    <t>Pos 3</t>
  </si>
  <si>
    <t>Pos 2</t>
  </si>
  <si>
    <t>Pos 1</t>
  </si>
  <si>
    <t>Pos 0</t>
  </si>
  <si>
    <t>Kante 11</t>
  </si>
  <si>
    <t>Kante 10</t>
  </si>
  <si>
    <t>Kante 9</t>
  </si>
  <si>
    <t>Kante 8</t>
  </si>
  <si>
    <t>Kante 6</t>
  </si>
  <si>
    <t>Kante 5</t>
  </si>
  <si>
    <t>Kante 7</t>
  </si>
  <si>
    <t>Kante 4</t>
  </si>
  <si>
    <t>Kante 3</t>
  </si>
  <si>
    <t>Kante 2</t>
  </si>
  <si>
    <t>Kante 1</t>
  </si>
  <si>
    <t>Kante 0</t>
  </si>
  <si>
    <t>1011</t>
  </si>
  <si>
    <t>1010</t>
  </si>
  <si>
    <t>1001</t>
  </si>
  <si>
    <t>1000</t>
  </si>
  <si>
    <t>0110</t>
  </si>
  <si>
    <t>0101</t>
  </si>
  <si>
    <t>0111</t>
  </si>
  <si>
    <t>0100</t>
  </si>
  <si>
    <t>0011</t>
  </si>
  <si>
    <t>0010</t>
  </si>
  <si>
    <t>0001</t>
  </si>
  <si>
    <t>0000</t>
  </si>
  <si>
    <t>Positionen 
(fest)</t>
  </si>
  <si>
    <t>Kanten
(verschiebbar)</t>
  </si>
  <si>
    <t>R</t>
  </si>
  <si>
    <t>R'</t>
  </si>
  <si>
    <t>R2</t>
  </si>
  <si>
    <t>U'</t>
  </si>
  <si>
    <t>U2</t>
  </si>
  <si>
    <t>D</t>
  </si>
  <si>
    <t>L</t>
  </si>
  <si>
    <t>Rechts</t>
  </si>
  <si>
    <t>Right</t>
  </si>
  <si>
    <t>Left</t>
  </si>
  <si>
    <t>Front</t>
  </si>
  <si>
    <t>Back</t>
  </si>
  <si>
    <t>Down</t>
  </si>
  <si>
    <t>Up</t>
  </si>
  <si>
    <t>Art</t>
  </si>
  <si>
    <t>Halbe Drehung</t>
  </si>
  <si>
    <t>Viertel Drehung 
invertiert</t>
  </si>
  <si>
    <t>Viertel Drehung</t>
  </si>
  <si>
    <t>L'</t>
  </si>
  <si>
    <t>L2</t>
  </si>
  <si>
    <t>F'</t>
  </si>
  <si>
    <t>F2</t>
  </si>
  <si>
    <t>B'</t>
  </si>
  <si>
    <t>B2</t>
  </si>
  <si>
    <t>D'</t>
  </si>
  <si>
    <t>D2</t>
  </si>
  <si>
    <t>Liste-Bewegungen</t>
  </si>
  <si>
    <t>Eck 7</t>
  </si>
  <si>
    <t>Eck 6</t>
  </si>
  <si>
    <t>Eck 5</t>
  </si>
  <si>
    <t>Eck 4</t>
  </si>
  <si>
    <t>Eck 3</t>
  </si>
  <si>
    <t>Eck 2</t>
  </si>
  <si>
    <t>Eck 1</t>
  </si>
  <si>
    <t>Eck 0</t>
  </si>
  <si>
    <t>5 Stellig</t>
  </si>
  <si>
    <t>Code</t>
  </si>
  <si>
    <t>01011_01010_01001_01000_00110_00101_00111_00100_00011_00010_00001_00000</t>
  </si>
  <si>
    <t>Code-Ecken</t>
  </si>
  <si>
    <t>Code-Kanten</t>
  </si>
  <si>
    <t>Vorne</t>
  </si>
  <si>
    <t>Hinten</t>
  </si>
  <si>
    <t>Links</t>
  </si>
  <si>
    <t>Gelb</t>
  </si>
  <si>
    <t>Weiß</t>
  </si>
  <si>
    <t>Grün</t>
  </si>
  <si>
    <t>Blau</t>
  </si>
  <si>
    <t>Rot</t>
  </si>
  <si>
    <t>Orange</t>
  </si>
  <si>
    <t>000111_000110_000101_000100_000011_000010_000001_000000</t>
  </si>
  <si>
    <t>Drehung min</t>
  </si>
  <si>
    <t>Drehung max</t>
  </si>
  <si>
    <t xml:space="preserve">Definition: </t>
  </si>
  <si>
    <t xml:space="preserve">"Qubies" sind die einzelnen Körper; </t>
  </si>
  <si>
    <t>"Würfel" ist die Gruppierung der anderen körper. Sozusagen ist es der Gesamtkörper, der alle anderen Körper (Qubies) einschließt.</t>
  </si>
  <si>
    <t>Erst oberste Ebene</t>
  </si>
  <si>
    <t>angefangen bei dem der am nächsten zur Kamera ist.</t>
  </si>
  <si>
    <t>nach Links aufsteigend</t>
  </si>
  <si>
    <t>Top</t>
  </si>
  <si>
    <t>Rear</t>
  </si>
  <si>
    <t>rechts</t>
  </si>
  <si>
    <t>links</t>
  </si>
  <si>
    <t>x</t>
  </si>
  <si>
    <t>oben</t>
  </si>
  <si>
    <t>unten</t>
  </si>
  <si>
    <t>y</t>
  </si>
  <si>
    <t>vorn</t>
  </si>
  <si>
    <t>hinten</t>
  </si>
  <si>
    <t>z</t>
  </si>
  <si>
    <t>X</t>
  </si>
  <si>
    <t>Y</t>
  </si>
  <si>
    <t>Z</t>
  </si>
  <si>
    <t>RightSide</t>
  </si>
  <si>
    <t>Pos</t>
  </si>
  <si>
    <t>URSPRUNG</t>
  </si>
  <si>
    <t>Festes Kreuz</t>
  </si>
  <si>
    <t>Beschreibung</t>
  </si>
  <si>
    <t>+</t>
  </si>
  <si>
    <t>-</t>
  </si>
  <si>
    <t>+ oben</t>
  </si>
  <si>
    <t>- unten</t>
  </si>
  <si>
    <t>+ rechts</t>
  </si>
  <si>
    <t>- links</t>
  </si>
  <si>
    <t>Mitte Rechts</t>
  </si>
  <si>
    <t>Mitte Links</t>
  </si>
  <si>
    <t>Mitte Oben</t>
  </si>
  <si>
    <t>Mitte Unten</t>
  </si>
  <si>
    <t>Mitte Vorne</t>
  </si>
  <si>
    <t>Mitte Hinten</t>
  </si>
  <si>
    <t>Mitte Mitte</t>
  </si>
  <si>
    <t>Eck</t>
  </si>
  <si>
    <t>Kante</t>
  </si>
  <si>
    <t>Oben Vorne rechts</t>
  </si>
  <si>
    <t>Oben Vorne mitte</t>
  </si>
  <si>
    <t>Oben Vorne links</t>
  </si>
  <si>
    <t>Oben Mitte links</t>
  </si>
  <si>
    <t>Oben Hinten links</t>
  </si>
  <si>
    <t>Oben Hinten mitte</t>
  </si>
  <si>
    <t>Oben Hinten rechts</t>
  </si>
  <si>
    <t>Oben Mitte rechts</t>
  </si>
  <si>
    <t>Unten Vorne rechts</t>
  </si>
  <si>
    <t>Unten Vorne mitte</t>
  </si>
  <si>
    <t>Unten Vorne links</t>
  </si>
  <si>
    <t>Unten Mitte links</t>
  </si>
  <si>
    <t>Unten Hinten links</t>
  </si>
  <si>
    <t>Unten Hinten mitte</t>
  </si>
  <si>
    <t>Unten Hinten rechts</t>
  </si>
  <si>
    <t>Mitte Vorne Links</t>
  </si>
  <si>
    <t>Mitte Hinten Links</t>
  </si>
  <si>
    <t>Mitte Hinten Rechts</t>
  </si>
  <si>
    <t>Mitte Vorne Rechts</t>
  </si>
  <si>
    <t>Unten Mitte rechts</t>
  </si>
  <si>
    <t>Nr</t>
  </si>
  <si>
    <t>Es gibt unterschiedliche Arten von Qubies. Die Zentralen Qubies sind irrelevant.</t>
  </si>
  <si>
    <t>Die Qubies in den Ecken sind Eck-Qubies. Es gibt 8 (Nr. 0 bis Nr. 7) Ecken Koordinaten-Liste</t>
  </si>
  <si>
    <t>Die Qubies zwischen den Ecken sind Kanten-Qubies. Es gibt 12 (Nr. 0 bis Nr. 11) Kanten Koordinaten-Liste</t>
  </si>
  <si>
    <t>Die jeweiligen Nummerierungen und damit damit zusammenhängende Positionen sind den Tabellen zu entnehmen.</t>
  </si>
  <si>
    <t xml:space="preserve">Ich will dass die Qubies am Anfang einen "Namen" bekommen, der sich niemals ändert. Als Namen sollen  die Positionsnummer aus den Tabellen herhalten. Anhand der Tabellen ist jede Position über diese Nummer definiert. So bekommen die Qubies mit den Nummern als Namen, zusätzlich einen Key für die Position. Anfangs sind die Namen und Positionen identisch. Werden entweder Qubies im Raum verschoben oder ändert sich die Ansicht, werden die Positionswerte der Qubies angepasst. </t>
  </si>
  <si>
    <t xml:space="preserve">So existiert eine "Datenbank", die immer die aktuelle Position jedes einzelnen Qubies enthält. </t>
  </si>
  <si>
    <t>Ich glaube wir sollten ein dictionary oder ähnliches für die Qubies anlegen. Grund ist folgendes:</t>
  </si>
  <si>
    <t>0, 1, 1</t>
  </si>
  <si>
    <t>-1, 1, 0</t>
  </si>
  <si>
    <t>0, 1, -1</t>
  </si>
  <si>
    <t>1, 1, 0</t>
  </si>
  <si>
    <t>1, 0, -1</t>
  </si>
  <si>
    <t>-1, 0, -1</t>
  </si>
  <si>
    <t>-1, 0, 1</t>
  </si>
  <si>
    <t>1, 0, 1</t>
  </si>
  <si>
    <t>0, -1, 1</t>
  </si>
  <si>
    <t>-1, -1, 0</t>
  </si>
  <si>
    <t>0, -1, -1</t>
  </si>
  <si>
    <t>1, -1, 0</t>
  </si>
  <si>
    <t>1, 1, 1</t>
  </si>
  <si>
    <t>-1, 1, 1</t>
  </si>
  <si>
    <t>-1, 1, -1</t>
  </si>
  <si>
    <t>1, 1, -1</t>
  </si>
  <si>
    <t>1, -1, 1</t>
  </si>
  <si>
    <t>-1, -1, 1</t>
  </si>
  <si>
    <t>-1, -1, -1</t>
  </si>
  <si>
    <t>1, -1, -1</t>
  </si>
  <si>
    <t>alle links</t>
  </si>
  <si>
    <t>alle oben</t>
  </si>
  <si>
    <t>alle mittig</t>
  </si>
  <si>
    <t>alle rechts</t>
  </si>
  <si>
    <t>ID</t>
  </si>
  <si>
    <t>K0: (0, 1, 1), K1: (-1, 1, 0), K2: (0, 1, -1), K3: (1, 1, 0), K4: (1, 0, -1), K5: (-1, 0, -1), K6: (-1, 0, 1), K7: (1, 0, 1), K8: (0, -1, 1), K9: (-1, -1, 0), K10: (0, -1, -1), K11: (1, -1, 0), E0: (1, 1, 1), E1: (-1, 1, 1), E2: (-1, 1, -1), E3: (1, 1, -1), E4: (1, -1, 1), E5: (-1, -1, 1), E6: (-1, -1, -1), E7: (1, -1, -1),</t>
  </si>
  <si>
    <t>OV</t>
  </si>
  <si>
    <t>OHR</t>
  </si>
  <si>
    <t>OH</t>
  </si>
  <si>
    <t>OHL</t>
  </si>
  <si>
    <t>OVR</t>
  </si>
  <si>
    <t>OVL</t>
  </si>
  <si>
    <t>OL</t>
  </si>
  <si>
    <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</si>
</sst>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u/>
      <sz val="14"/>
      <color theme="1"/>
      <name val="Calibri"/>
      <family val="2"/>
      <scheme val="minor"/>
    </font>
    <font>
      <sz val="11"/>
      <name val="Calibri"/>
      <family val="2"/>
      <scheme val="minor"/>
    </font>
    <font>
      <b/>
      <sz val="11"/>
      <color theme="5" tint="-0.249977111117893"/>
      <name val="Calibri"/>
      <family val="2"/>
      <scheme val="minor"/>
    </font>
    <font>
      <sz val="8"/>
      <name val="Calibri"/>
      <family val="2"/>
      <scheme val="minor"/>
    </font>
    <font>
      <b/>
      <sz val="11"/>
      <name val="Calibri"/>
      <family val="2"/>
      <scheme val="minor"/>
    </font>
    <font>
      <sz val="8"/>
      <color theme="1"/>
      <name val="Calibri"/>
      <family val="2"/>
      <scheme val="minor"/>
    </font>
    <font>
      <sz val="11"/>
      <color rgb="FFFF0000"/>
      <name val="Calibri"/>
      <family val="2"/>
      <scheme val="minor"/>
    </font>
    <font>
      <sz val="11"/>
      <color theme="8"/>
      <name val="Calibri"/>
      <family val="2"/>
      <scheme val="minor"/>
    </font>
  </fonts>
  <fills count="2">
    <fill>
      <patternFill patternType="none"/>
    </fill>
    <fill>
      <patternFill patternType="gray125"/>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4">
    <xf numFmtId="0" fontId="0" fillId="0" borderId="0" xfId="0"/>
    <xf numFmtId="0" fontId="0" fillId="0" borderId="0" xfId="0" applyAlignment="1">
      <alignment horizontal="center"/>
    </xf>
    <xf numFmtId="0" fontId="0" fillId="0" borderId="0" xfId="0" applyBorder="1" applyAlignment="1">
      <alignment horizontal="center"/>
    </xf>
    <xf numFmtId="0" fontId="0" fillId="0" borderId="0" xfId="0" applyAlignment="1">
      <alignment horizontal="center" vertical="center"/>
    </xf>
    <xf numFmtId="0" fontId="3" fillId="0" borderId="0" xfId="0" applyFont="1"/>
    <xf numFmtId="0" fontId="2" fillId="0" borderId="0" xfId="1" applyAlignment="1">
      <alignment horizontal="center" vertical="center"/>
    </xf>
    <xf numFmtId="0" fontId="0" fillId="0" borderId="0" xfId="0" applyAlignment="1">
      <alignment horizontal="center"/>
    </xf>
    <xf numFmtId="0" fontId="4" fillId="0" borderId="0" xfId="0" applyFont="1" applyFill="1" applyBorder="1" applyAlignment="1">
      <alignment horizontal="center"/>
    </xf>
    <xf numFmtId="0" fontId="7" fillId="0" borderId="0"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7" fillId="0" borderId="0" xfId="0" applyFont="1" applyFill="1" applyBorder="1" applyAlignment="1">
      <alignment horizontal="center" vertical="center" wrapText="1"/>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xf>
    <xf numFmtId="0" fontId="0" fillId="0" borderId="1"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center" vertical="center"/>
    </xf>
    <xf numFmtId="0" fontId="0" fillId="0" borderId="21" xfId="0" applyBorder="1" applyAlignment="1">
      <alignment horizontal="center" vertical="center"/>
    </xf>
    <xf numFmtId="0" fontId="1" fillId="0" borderId="3" xfId="0" applyFont="1" applyBorder="1" applyAlignment="1">
      <alignment horizontal="center" vertical="center"/>
    </xf>
    <xf numFmtId="0" fontId="1" fillId="0" borderId="19"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left" vertical="center" wrapText="1"/>
    </xf>
    <xf numFmtId="0" fontId="1" fillId="0" borderId="24" xfId="0" applyFont="1" applyBorder="1" applyAlignment="1">
      <alignment horizontal="left" vertical="center"/>
    </xf>
    <xf numFmtId="0" fontId="0" fillId="0" borderId="0" xfId="0" applyBorder="1" applyAlignment="1">
      <alignment horizontal="left"/>
    </xf>
    <xf numFmtId="0" fontId="0" fillId="0" borderId="0" xfId="0" applyAlignment="1">
      <alignment horizontal="right"/>
    </xf>
    <xf numFmtId="0" fontId="8" fillId="0" borderId="1" xfId="0" applyFont="1" applyBorder="1" applyAlignment="1">
      <alignment horizontal="center" vertical="center"/>
    </xf>
    <xf numFmtId="49" fontId="0" fillId="0" borderId="0" xfId="0" applyNumberFormat="1" applyAlignment="1">
      <alignment horizontal="left"/>
    </xf>
    <xf numFmtId="0" fontId="0" fillId="0" borderId="0" xfId="0" applyAlignment="1">
      <alignment horizontal="left"/>
    </xf>
    <xf numFmtId="0" fontId="0" fillId="0" borderId="0" xfId="0" applyAlignment="1"/>
    <xf numFmtId="0" fontId="1" fillId="0" borderId="28"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0" fontId="0" fillId="0" borderId="0" xfId="0" applyAlignment="1">
      <alignment horizont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1" fillId="0" borderId="7" xfId="0" applyFont="1" applyBorder="1" applyAlignment="1"/>
    <xf numFmtId="0" fontId="1" fillId="0" borderId="3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7" fillId="0" borderId="12" xfId="0" applyFont="1" applyFill="1" applyBorder="1" applyAlignment="1">
      <alignment horizontal="center" vertical="center" wrapText="1"/>
    </xf>
    <xf numFmtId="0" fontId="1" fillId="0" borderId="13"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9" xfId="0" applyFont="1" applyBorder="1" applyAlignment="1">
      <alignment horizontal="center"/>
    </xf>
    <xf numFmtId="0" fontId="0" fillId="0" borderId="0" xfId="0" applyAlignment="1">
      <alignment horizontal="center"/>
    </xf>
    <xf numFmtId="0" fontId="0" fillId="0" borderId="0" xfId="0" applyAlignment="1">
      <alignment horizontal="left" wrapText="1"/>
    </xf>
    <xf numFmtId="0" fontId="0" fillId="0" borderId="25" xfId="0" applyBorder="1" applyAlignment="1">
      <alignment horizontal="center"/>
    </xf>
    <xf numFmtId="0" fontId="0" fillId="0" borderId="0" xfId="0" applyAlignment="1">
      <alignment horizontal="center" textRotation="90"/>
    </xf>
    <xf numFmtId="49" fontId="0" fillId="0" borderId="0" xfId="0" applyNumberFormat="1" applyAlignment="1">
      <alignment horizontal="left"/>
    </xf>
    <xf numFmtId="0" fontId="0" fillId="0" borderId="0" xfId="0" applyAlignment="1">
      <alignment horizontal="left"/>
    </xf>
    <xf numFmtId="0" fontId="9" fillId="0" borderId="0" xfId="0" applyFont="1" applyAlignment="1">
      <alignment horizontal="center"/>
    </xf>
    <xf numFmtId="0" fontId="10" fillId="0" borderId="0" xfId="0" applyFont="1" applyAlignment="1">
      <alignment horizontal="center"/>
    </xf>
  </cellXfs>
  <cellStyles count="2">
    <cellStyle name="Link" xfId="1" builtinId="8"/>
    <cellStyle name="Standard" xfId="0" builtinId="0"/>
  </cellStyles>
  <dxfs count="8">
    <dxf>
      <alignment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6</xdr:col>
      <xdr:colOff>680357</xdr:colOff>
      <xdr:row>8</xdr:row>
      <xdr:rowOff>176893</xdr:rowOff>
    </xdr:from>
    <xdr:to>
      <xdr:col>12</xdr:col>
      <xdr:colOff>563895</xdr:colOff>
      <xdr:row>42</xdr:row>
      <xdr:rowOff>92060</xdr:rowOff>
    </xdr:to>
    <xdr:pic>
      <xdr:nvPicPr>
        <xdr:cNvPr id="2" name="Grafik 1">
          <a:extLst>
            <a:ext uri="{FF2B5EF4-FFF2-40B4-BE49-F238E27FC236}">
              <a16:creationId xmlns:a16="http://schemas.microsoft.com/office/drawing/2014/main" id="{28A8E682-0992-413E-AABB-D0CAA8845EB6}"/>
            </a:ext>
          </a:extLst>
        </xdr:cNvPr>
        <xdr:cNvPicPr>
          <a:picLocks noChangeAspect="1"/>
        </xdr:cNvPicPr>
      </xdr:nvPicPr>
      <xdr:blipFill>
        <a:blip xmlns:r="http://schemas.openxmlformats.org/officeDocument/2006/relationships" r:embed="rId1"/>
        <a:stretch>
          <a:fillRect/>
        </a:stretch>
      </xdr:blipFill>
      <xdr:spPr>
        <a:xfrm>
          <a:off x="10001250" y="1496786"/>
          <a:ext cx="7639609" cy="6392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508724</xdr:colOff>
      <xdr:row>0</xdr:row>
      <xdr:rowOff>0</xdr:rowOff>
    </xdr:from>
    <xdr:to>
      <xdr:col>16</xdr:col>
      <xdr:colOff>259668</xdr:colOff>
      <xdr:row>10</xdr:row>
      <xdr:rowOff>148656</xdr:rowOff>
    </xdr:to>
    <xdr:grpSp>
      <xdr:nvGrpSpPr>
        <xdr:cNvPr id="9" name="Gruppieren 8">
          <a:extLst>
            <a:ext uri="{FF2B5EF4-FFF2-40B4-BE49-F238E27FC236}">
              <a16:creationId xmlns:a16="http://schemas.microsoft.com/office/drawing/2014/main" id="{84BAE5DA-C7AB-4F12-8AB1-9DD84C78AA95}"/>
            </a:ext>
          </a:extLst>
        </xdr:cNvPr>
        <xdr:cNvGrpSpPr>
          <a:grpSpLocks noChangeAspect="1"/>
        </xdr:cNvGrpSpPr>
      </xdr:nvGrpSpPr>
      <xdr:grpSpPr>
        <a:xfrm>
          <a:off x="10576649" y="0"/>
          <a:ext cx="2036944" cy="2463231"/>
          <a:chOff x="1181100" y="38100"/>
          <a:chExt cx="4705668" cy="5630061"/>
        </a:xfrm>
      </xdr:grpSpPr>
      <xdr:pic>
        <xdr:nvPicPr>
          <xdr:cNvPr id="2" name="Grafik 1">
            <a:extLst>
              <a:ext uri="{FF2B5EF4-FFF2-40B4-BE49-F238E27FC236}">
                <a16:creationId xmlns:a16="http://schemas.microsoft.com/office/drawing/2014/main" id="{FE34D0AC-B628-4A0D-A32C-2EEAA55987B4}"/>
              </a:ext>
            </a:extLst>
          </xdr:cNvPr>
          <xdr:cNvPicPr>
            <a:picLocks noChangeAspect="1"/>
          </xdr:cNvPicPr>
        </xdr:nvPicPr>
        <xdr:blipFill>
          <a:blip xmlns:r="http://schemas.openxmlformats.org/officeDocument/2006/relationships" r:embed="rId1"/>
          <a:stretch>
            <a:fillRect/>
          </a:stretch>
        </xdr:blipFill>
        <xdr:spPr>
          <a:xfrm>
            <a:off x="1181100" y="1657350"/>
            <a:ext cx="2453104" cy="2266950"/>
          </a:xfrm>
          <a:prstGeom prst="rect">
            <a:avLst/>
          </a:prstGeom>
        </xdr:spPr>
      </xdr:pic>
      <xdr:pic>
        <xdr:nvPicPr>
          <xdr:cNvPr id="8" name="Grafik 7">
            <a:extLst>
              <a:ext uri="{FF2B5EF4-FFF2-40B4-BE49-F238E27FC236}">
                <a16:creationId xmlns:a16="http://schemas.microsoft.com/office/drawing/2014/main" id="{B5F54A0F-8381-4BD0-96CC-5D43BF389557}"/>
              </a:ext>
            </a:extLst>
          </xdr:cNvPr>
          <xdr:cNvPicPr>
            <a:picLocks noChangeAspect="1"/>
          </xdr:cNvPicPr>
        </xdr:nvPicPr>
        <xdr:blipFill>
          <a:blip xmlns:r="http://schemas.openxmlformats.org/officeDocument/2006/relationships" r:embed="rId2"/>
          <a:stretch>
            <a:fillRect/>
          </a:stretch>
        </xdr:blipFill>
        <xdr:spPr>
          <a:xfrm>
            <a:off x="3609975" y="38100"/>
            <a:ext cx="2276793" cy="5630061"/>
          </a:xfrm>
          <a:prstGeom prst="rect">
            <a:avLst/>
          </a:prstGeom>
        </xdr:spPr>
      </xdr:pic>
    </xdr:grpSp>
    <xdr:clientData/>
  </xdr:twoCellAnchor>
  <xdr:twoCellAnchor editAs="oneCell">
    <xdr:from>
      <xdr:col>13</xdr:col>
      <xdr:colOff>627530</xdr:colOff>
      <xdr:row>13</xdr:row>
      <xdr:rowOff>67234</xdr:rowOff>
    </xdr:from>
    <xdr:to>
      <xdr:col>16</xdr:col>
      <xdr:colOff>586692</xdr:colOff>
      <xdr:row>24</xdr:row>
      <xdr:rowOff>102889</xdr:rowOff>
    </xdr:to>
    <xdr:pic>
      <xdr:nvPicPr>
        <xdr:cNvPr id="10" name="Grafik 9">
          <a:extLst>
            <a:ext uri="{FF2B5EF4-FFF2-40B4-BE49-F238E27FC236}">
              <a16:creationId xmlns:a16="http://schemas.microsoft.com/office/drawing/2014/main" id="{5C0854BB-18DD-4FE7-B639-73005AA8BAD0}"/>
            </a:ext>
          </a:extLst>
        </xdr:cNvPr>
        <xdr:cNvPicPr>
          <a:picLocks noChangeAspect="1"/>
        </xdr:cNvPicPr>
      </xdr:nvPicPr>
      <xdr:blipFill>
        <a:blip xmlns:r="http://schemas.openxmlformats.org/officeDocument/2006/relationships" r:embed="rId3"/>
        <a:stretch>
          <a:fillRect/>
        </a:stretch>
      </xdr:blipFill>
      <xdr:spPr>
        <a:xfrm>
          <a:off x="10690412" y="2969558"/>
          <a:ext cx="2245162" cy="21647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671080</xdr:colOff>
      <xdr:row>9</xdr:row>
      <xdr:rowOff>15043</xdr:rowOff>
    </xdr:from>
    <xdr:to>
      <xdr:col>8</xdr:col>
      <xdr:colOff>99579</xdr:colOff>
      <xdr:row>18</xdr:row>
      <xdr:rowOff>49680</xdr:rowOff>
    </xdr:to>
    <xdr:pic>
      <xdr:nvPicPr>
        <xdr:cNvPr id="2" name="Grafik 1">
          <a:extLst>
            <a:ext uri="{FF2B5EF4-FFF2-40B4-BE49-F238E27FC236}">
              <a16:creationId xmlns:a16="http://schemas.microsoft.com/office/drawing/2014/main" id="{080FC6B6-DEDA-468A-9499-B71B55AA4567}"/>
            </a:ext>
          </a:extLst>
        </xdr:cNvPr>
        <xdr:cNvPicPr>
          <a:picLocks noChangeAspect="1"/>
        </xdr:cNvPicPr>
      </xdr:nvPicPr>
      <xdr:blipFill rotWithShape="1">
        <a:blip xmlns:r="http://schemas.openxmlformats.org/officeDocument/2006/relationships" r:embed="rId1">
          <a:clrChange>
            <a:clrFrom>
              <a:srgbClr val="404040"/>
            </a:clrFrom>
            <a:clrTo>
              <a:srgbClr val="404040">
                <a:alpha val="0"/>
              </a:srgbClr>
            </a:clrTo>
          </a:clrChange>
        </a:blip>
        <a:srcRect l="19847" t="14257" r="22335" b="17980"/>
        <a:stretch/>
      </xdr:blipFill>
      <xdr:spPr>
        <a:xfrm>
          <a:off x="3719080" y="1729543"/>
          <a:ext cx="1453815" cy="1749137"/>
        </a:xfrm>
        <a:prstGeom prst="rect">
          <a:avLst/>
        </a:prstGeom>
      </xdr:spPr>
    </xdr:pic>
    <xdr:clientData/>
  </xdr:twoCellAnchor>
  <xdr:twoCellAnchor editAs="oneCell">
    <xdr:from>
      <xdr:col>8</xdr:col>
      <xdr:colOff>666749</xdr:colOff>
      <xdr:row>9</xdr:row>
      <xdr:rowOff>15039</xdr:rowOff>
    </xdr:from>
    <xdr:to>
      <xdr:col>12</xdr:col>
      <xdr:colOff>124100</xdr:colOff>
      <xdr:row>18</xdr:row>
      <xdr:rowOff>75197</xdr:rowOff>
    </xdr:to>
    <xdr:pic>
      <xdr:nvPicPr>
        <xdr:cNvPr id="3" name="Grafik 2">
          <a:extLst>
            <a:ext uri="{FF2B5EF4-FFF2-40B4-BE49-F238E27FC236}">
              <a16:creationId xmlns:a16="http://schemas.microsoft.com/office/drawing/2014/main" id="{E13000C4-34EC-4BFC-9BDE-BD2DE21E57EE}"/>
            </a:ext>
          </a:extLst>
        </xdr:cNvPr>
        <xdr:cNvPicPr>
          <a:picLocks noChangeAspect="1"/>
        </xdr:cNvPicPr>
      </xdr:nvPicPr>
      <xdr:blipFill rotWithShape="1">
        <a:blip xmlns:r="http://schemas.openxmlformats.org/officeDocument/2006/relationships" r:embed="rId2">
          <a:clrChange>
            <a:clrFrom>
              <a:srgbClr val="404040"/>
            </a:clrFrom>
            <a:clrTo>
              <a:srgbClr val="404040">
                <a:alpha val="0"/>
              </a:srgbClr>
            </a:clrTo>
          </a:clrChange>
        </a:blip>
        <a:srcRect t="4762" b="6517"/>
        <a:stretch/>
      </xdr:blipFill>
      <xdr:spPr>
        <a:xfrm>
          <a:off x="5740065" y="1729539"/>
          <a:ext cx="1482667" cy="17746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772972</xdr:colOff>
      <xdr:row>1</xdr:row>
      <xdr:rowOff>17687</xdr:rowOff>
    </xdr:from>
    <xdr:to>
      <xdr:col>6</xdr:col>
      <xdr:colOff>1253363</xdr:colOff>
      <xdr:row>1</xdr:row>
      <xdr:rowOff>366173</xdr:rowOff>
    </xdr:to>
    <xdr:pic>
      <xdr:nvPicPr>
        <xdr:cNvPr id="2" name="Grafik 1">
          <a:extLst>
            <a:ext uri="{FF2B5EF4-FFF2-40B4-BE49-F238E27FC236}">
              <a16:creationId xmlns:a16="http://schemas.microsoft.com/office/drawing/2014/main" id="{50BB2ADB-F728-46F2-9A41-4E7DF78E3EFA}"/>
            </a:ext>
          </a:extLst>
        </xdr:cNvPr>
        <xdr:cNvPicPr>
          <a:picLocks noChangeAspect="1"/>
        </xdr:cNvPicPr>
      </xdr:nvPicPr>
      <xdr:blipFill rotWithShape="1">
        <a:blip xmlns:r="http://schemas.openxmlformats.org/officeDocument/2006/relationships" r:embed="rId1"/>
        <a:srcRect t="51522" r="66940" b="36181"/>
        <a:stretch/>
      </xdr:blipFill>
      <xdr:spPr>
        <a:xfrm>
          <a:off x="8802547" y="474887"/>
          <a:ext cx="480391" cy="348486"/>
        </a:xfrm>
        <a:prstGeom prst="rect">
          <a:avLst/>
        </a:prstGeom>
      </xdr:spPr>
    </xdr:pic>
    <xdr:clientData/>
  </xdr:twoCellAnchor>
  <xdr:twoCellAnchor editAs="oneCell">
    <xdr:from>
      <xdr:col>4</xdr:col>
      <xdr:colOff>865170</xdr:colOff>
      <xdr:row>1</xdr:row>
      <xdr:rowOff>17687</xdr:rowOff>
    </xdr:from>
    <xdr:to>
      <xdr:col>4</xdr:col>
      <xdr:colOff>1339259</xdr:colOff>
      <xdr:row>1</xdr:row>
      <xdr:rowOff>383888</xdr:rowOff>
    </xdr:to>
    <xdr:pic>
      <xdr:nvPicPr>
        <xdr:cNvPr id="4" name="Grafik 3">
          <a:extLst>
            <a:ext uri="{FF2B5EF4-FFF2-40B4-BE49-F238E27FC236}">
              <a16:creationId xmlns:a16="http://schemas.microsoft.com/office/drawing/2014/main" id="{666338E8-C224-48B0-95AC-7F92E9ECA851}"/>
            </a:ext>
          </a:extLst>
        </xdr:cNvPr>
        <xdr:cNvPicPr>
          <a:picLocks noChangeAspect="1"/>
        </xdr:cNvPicPr>
      </xdr:nvPicPr>
      <xdr:blipFill rotWithShape="1">
        <a:blip xmlns:r="http://schemas.openxmlformats.org/officeDocument/2006/relationships" r:embed="rId1"/>
        <a:srcRect l="67374" t="2933" b="84142"/>
        <a:stretch/>
      </xdr:blipFill>
      <xdr:spPr>
        <a:xfrm>
          <a:off x="6113445" y="474887"/>
          <a:ext cx="474089" cy="366201"/>
        </a:xfrm>
        <a:prstGeom prst="rect">
          <a:avLst/>
        </a:prstGeom>
      </xdr:spPr>
    </xdr:pic>
    <xdr:clientData/>
  </xdr:twoCellAnchor>
  <xdr:twoCellAnchor editAs="oneCell">
    <xdr:from>
      <xdr:col>1</xdr:col>
      <xdr:colOff>835611</xdr:colOff>
      <xdr:row>1</xdr:row>
      <xdr:rowOff>17687</xdr:rowOff>
    </xdr:from>
    <xdr:to>
      <xdr:col>1</xdr:col>
      <xdr:colOff>1316002</xdr:colOff>
      <xdr:row>1</xdr:row>
      <xdr:rowOff>430060</xdr:rowOff>
    </xdr:to>
    <xdr:pic>
      <xdr:nvPicPr>
        <xdr:cNvPr id="5" name="Grafik 4">
          <a:extLst>
            <a:ext uri="{FF2B5EF4-FFF2-40B4-BE49-F238E27FC236}">
              <a16:creationId xmlns:a16="http://schemas.microsoft.com/office/drawing/2014/main" id="{26DDDD2F-456A-4E33-8F16-EBD37FEF8796}"/>
            </a:ext>
          </a:extLst>
        </xdr:cNvPr>
        <xdr:cNvPicPr>
          <a:picLocks noChangeAspect="1"/>
        </xdr:cNvPicPr>
      </xdr:nvPicPr>
      <xdr:blipFill rotWithShape="1">
        <a:blip xmlns:r="http://schemas.openxmlformats.org/officeDocument/2006/relationships" r:embed="rId1"/>
        <a:srcRect t="2023" r="66940" b="83515"/>
        <a:stretch/>
      </xdr:blipFill>
      <xdr:spPr>
        <a:xfrm>
          <a:off x="1911936" y="474887"/>
          <a:ext cx="480391" cy="412373"/>
        </a:xfrm>
        <a:prstGeom prst="rect">
          <a:avLst/>
        </a:prstGeom>
      </xdr:spPr>
    </xdr:pic>
    <xdr:clientData/>
  </xdr:twoCellAnchor>
  <xdr:twoCellAnchor editAs="oneCell">
    <xdr:from>
      <xdr:col>5</xdr:col>
      <xdr:colOff>864403</xdr:colOff>
      <xdr:row>1</xdr:row>
      <xdr:rowOff>17687</xdr:rowOff>
    </xdr:from>
    <xdr:to>
      <xdr:col>5</xdr:col>
      <xdr:colOff>1319948</xdr:colOff>
      <xdr:row>1</xdr:row>
      <xdr:rowOff>414256</xdr:rowOff>
    </xdr:to>
    <xdr:pic>
      <xdr:nvPicPr>
        <xdr:cNvPr id="6" name="Grafik 5">
          <a:extLst>
            <a:ext uri="{FF2B5EF4-FFF2-40B4-BE49-F238E27FC236}">
              <a16:creationId xmlns:a16="http://schemas.microsoft.com/office/drawing/2014/main" id="{FE35ABAE-8886-4878-A280-98DA4CE1E749}"/>
            </a:ext>
          </a:extLst>
        </xdr:cNvPr>
        <xdr:cNvPicPr>
          <a:picLocks noChangeAspect="1"/>
        </xdr:cNvPicPr>
      </xdr:nvPicPr>
      <xdr:blipFill rotWithShape="1">
        <a:blip xmlns:r="http://schemas.openxmlformats.org/officeDocument/2006/relationships" r:embed="rId1"/>
        <a:srcRect l="33972" t="50374" r="34678" b="35628"/>
        <a:stretch/>
      </xdr:blipFill>
      <xdr:spPr>
        <a:xfrm>
          <a:off x="7503328" y="474887"/>
          <a:ext cx="455545" cy="396569"/>
        </a:xfrm>
        <a:prstGeom prst="rect">
          <a:avLst/>
        </a:prstGeom>
      </xdr:spPr>
    </xdr:pic>
    <xdr:clientData/>
  </xdr:twoCellAnchor>
  <xdr:twoCellAnchor editAs="oneCell">
    <xdr:from>
      <xdr:col>2</xdr:col>
      <xdr:colOff>879893</xdr:colOff>
      <xdr:row>1</xdr:row>
      <xdr:rowOff>17687</xdr:rowOff>
    </xdr:from>
    <xdr:to>
      <xdr:col>2</xdr:col>
      <xdr:colOff>1353982</xdr:colOff>
      <xdr:row>1</xdr:row>
      <xdr:rowOff>403722</xdr:rowOff>
    </xdr:to>
    <xdr:pic>
      <xdr:nvPicPr>
        <xdr:cNvPr id="7" name="Grafik 6">
          <a:extLst>
            <a:ext uri="{FF2B5EF4-FFF2-40B4-BE49-F238E27FC236}">
              <a16:creationId xmlns:a16="http://schemas.microsoft.com/office/drawing/2014/main" id="{2289C447-AF11-44C0-94C9-0CA5C2949D3A}"/>
            </a:ext>
          </a:extLst>
        </xdr:cNvPr>
        <xdr:cNvPicPr>
          <a:picLocks noChangeAspect="1"/>
        </xdr:cNvPicPr>
      </xdr:nvPicPr>
      <xdr:blipFill rotWithShape="1">
        <a:blip xmlns:r="http://schemas.openxmlformats.org/officeDocument/2006/relationships" r:embed="rId1"/>
        <a:srcRect l="67374" t="51048" b="35329"/>
        <a:stretch/>
      </xdr:blipFill>
      <xdr:spPr>
        <a:xfrm>
          <a:off x="3346868" y="474887"/>
          <a:ext cx="474089" cy="386035"/>
        </a:xfrm>
        <a:prstGeom prst="rect">
          <a:avLst/>
        </a:prstGeom>
      </xdr:spPr>
    </xdr:pic>
    <xdr:clientData/>
  </xdr:twoCellAnchor>
  <xdr:twoCellAnchor editAs="oneCell">
    <xdr:from>
      <xdr:col>3</xdr:col>
      <xdr:colOff>828072</xdr:colOff>
      <xdr:row>1</xdr:row>
      <xdr:rowOff>17687</xdr:rowOff>
    </xdr:from>
    <xdr:to>
      <xdr:col>3</xdr:col>
      <xdr:colOff>1283617</xdr:colOff>
      <xdr:row>1</xdr:row>
      <xdr:rowOff>391863</xdr:rowOff>
    </xdr:to>
    <xdr:pic>
      <xdr:nvPicPr>
        <xdr:cNvPr id="9" name="Grafik 8">
          <a:extLst>
            <a:ext uri="{FF2B5EF4-FFF2-40B4-BE49-F238E27FC236}">
              <a16:creationId xmlns:a16="http://schemas.microsoft.com/office/drawing/2014/main" id="{E6129325-0347-47AE-A4D0-950634265DF2}"/>
            </a:ext>
          </a:extLst>
        </xdr:cNvPr>
        <xdr:cNvPicPr>
          <a:picLocks noChangeAspect="1"/>
        </xdr:cNvPicPr>
      </xdr:nvPicPr>
      <xdr:blipFill rotWithShape="1">
        <a:blip xmlns:r="http://schemas.openxmlformats.org/officeDocument/2006/relationships" r:embed="rId1"/>
        <a:srcRect l="33972" t="3118" r="34678" b="83678"/>
        <a:stretch/>
      </xdr:blipFill>
      <xdr:spPr>
        <a:xfrm>
          <a:off x="4685697" y="474887"/>
          <a:ext cx="455545" cy="37417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722677-B51C-47E1-B041-A58BDFB5632D}" name="Tabelle1" displayName="Tabelle1" ref="AE78:AJ105" totalsRowShown="0" headerRowDxfId="7" dataDxfId="6">
  <autoFilter ref="AE78:AJ105" xr:uid="{5D722677-B51C-47E1-B041-A58BDFB5632D}"/>
  <sortState xmlns:xlrd2="http://schemas.microsoft.com/office/spreadsheetml/2017/richdata2" ref="AE79:AM104">
    <sortCondition ref="AE78:AE104"/>
  </sortState>
  <tableColumns count="6">
    <tableColumn id="1" xr3:uid="{6271D207-84F2-4887-83E2-BCC73ECEFAC4}" name="Art" dataDxfId="5"/>
    <tableColumn id="3" xr3:uid="{6FF41631-54A1-4064-869C-AD3F1D232796}" name="Pos" dataDxfId="4"/>
    <tableColumn id="4" xr3:uid="{FAD983AB-8ACA-4ED2-A17F-11295367B8F2}" name="x" dataDxfId="3"/>
    <tableColumn id="5" xr3:uid="{7B85A944-58DD-4268-A359-3219C796DC67}" name="y" dataDxfId="2"/>
    <tableColumn id="6" xr3:uid="{B0AA7C30-8741-41D0-9E56-B6BF815CAB85}" name="z" dataDxfId="1"/>
    <tableColumn id="7" xr3:uid="{46228B15-F9F5-4983-B104-442C559EA9C9}" name="Beschreibu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peedsolving.com/wiki/index.php?title=OLL" TargetMode="External"/><Relationship Id="rId2" Type="http://schemas.openxmlformats.org/officeDocument/2006/relationships/hyperlink" Target="https://www.speedsolving.com/wiki/index.php?title=First_Two_Layers" TargetMode="External"/><Relationship Id="rId1" Type="http://schemas.openxmlformats.org/officeDocument/2006/relationships/hyperlink" Target="https://www.speedsolving.com/wiki/index.php?title=Cros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64D3-8943-4AF9-BCD8-4FE36A09E9D1}">
  <dimension ref="A1:E32"/>
  <sheetViews>
    <sheetView workbookViewId="0"/>
  </sheetViews>
  <sheetFormatPr baseColWidth="10" defaultColWidth="19.42578125" defaultRowHeight="15" x14ac:dyDescent="0.25"/>
  <cols>
    <col min="1" max="1" width="12" customWidth="1"/>
    <col min="2" max="2" width="17.140625" bestFit="1" customWidth="1"/>
    <col min="3" max="3" width="16.42578125" bestFit="1" customWidth="1"/>
    <col min="4" max="4" width="26" customWidth="1"/>
    <col min="5" max="5" width="48.85546875" customWidth="1"/>
  </cols>
  <sheetData>
    <row r="1" spans="1:5" ht="18.75" x14ac:dyDescent="0.3">
      <c r="A1" s="4" t="s">
        <v>0</v>
      </c>
    </row>
    <row r="2" spans="1:5" ht="5.25" customHeight="1" x14ac:dyDescent="0.3">
      <c r="A2" s="4"/>
    </row>
    <row r="3" spans="1:5" x14ac:dyDescent="0.25">
      <c r="A3" t="s">
        <v>9</v>
      </c>
    </row>
    <row r="4" spans="1:5" ht="4.5" customHeight="1" x14ac:dyDescent="0.25"/>
    <row r="5" spans="1:5" ht="15" customHeight="1" x14ac:dyDescent="0.25"/>
    <row r="6" spans="1:5" x14ac:dyDescent="0.25">
      <c r="A6" t="s">
        <v>12</v>
      </c>
      <c r="B6" s="3" t="s">
        <v>1</v>
      </c>
      <c r="C6" s="5" t="s">
        <v>5</v>
      </c>
      <c r="D6" t="s">
        <v>5</v>
      </c>
      <c r="E6" t="s">
        <v>16</v>
      </c>
    </row>
    <row r="7" spans="1:5" x14ac:dyDescent="0.25">
      <c r="A7" t="s">
        <v>13</v>
      </c>
      <c r="B7" s="3" t="s">
        <v>2</v>
      </c>
      <c r="C7" s="5" t="s">
        <v>6</v>
      </c>
      <c r="D7" t="s">
        <v>10</v>
      </c>
      <c r="E7" t="s">
        <v>17</v>
      </c>
    </row>
    <row r="8" spans="1:5" x14ac:dyDescent="0.25">
      <c r="A8" t="s">
        <v>14</v>
      </c>
      <c r="B8" s="3" t="s">
        <v>3</v>
      </c>
      <c r="C8" s="5" t="s">
        <v>7</v>
      </c>
      <c r="D8" t="s">
        <v>11</v>
      </c>
      <c r="E8" t="s">
        <v>19</v>
      </c>
    </row>
    <row r="9" spans="1:5" x14ac:dyDescent="0.25">
      <c r="A9" t="s">
        <v>15</v>
      </c>
      <c r="B9" s="3" t="s">
        <v>4</v>
      </c>
      <c r="C9" s="3" t="s">
        <v>8</v>
      </c>
      <c r="D9" t="s">
        <v>20</v>
      </c>
      <c r="E9" t="s">
        <v>18</v>
      </c>
    </row>
    <row r="12" spans="1:5" x14ac:dyDescent="0.25">
      <c r="A12" t="s">
        <v>33</v>
      </c>
      <c r="B12" s="3" t="s">
        <v>32</v>
      </c>
      <c r="C12" s="3" t="s">
        <v>31</v>
      </c>
    </row>
    <row r="13" spans="1:5" x14ac:dyDescent="0.25">
      <c r="A13" s="1">
        <v>0</v>
      </c>
      <c r="B13">
        <v>0</v>
      </c>
    </row>
    <row r="14" spans="1:5" x14ac:dyDescent="0.25">
      <c r="A14" s="1">
        <v>1</v>
      </c>
      <c r="B14">
        <v>1</v>
      </c>
    </row>
    <row r="15" spans="1:5" x14ac:dyDescent="0.25">
      <c r="A15" s="1">
        <v>2</v>
      </c>
      <c r="B15">
        <v>2</v>
      </c>
    </row>
    <row r="16" spans="1:5" x14ac:dyDescent="0.25">
      <c r="A16" s="1">
        <v>3</v>
      </c>
      <c r="B16">
        <v>3</v>
      </c>
    </row>
    <row r="17" spans="1:2" x14ac:dyDescent="0.25">
      <c r="A17" s="1">
        <v>4</v>
      </c>
      <c r="B17">
        <v>4</v>
      </c>
    </row>
    <row r="18" spans="1:2" x14ac:dyDescent="0.25">
      <c r="A18" s="1">
        <v>5</v>
      </c>
      <c r="B18">
        <v>5</v>
      </c>
    </row>
    <row r="19" spans="1:2" x14ac:dyDescent="0.25">
      <c r="A19" s="1">
        <v>6</v>
      </c>
      <c r="B19">
        <v>6</v>
      </c>
    </row>
    <row r="20" spans="1:2" x14ac:dyDescent="0.25">
      <c r="A20" s="1">
        <v>7</v>
      </c>
      <c r="B20">
        <v>7</v>
      </c>
    </row>
    <row r="21" spans="1:2" x14ac:dyDescent="0.25">
      <c r="A21" s="1">
        <v>8</v>
      </c>
      <c r="B21">
        <v>8</v>
      </c>
    </row>
    <row r="22" spans="1:2" x14ac:dyDescent="0.25">
      <c r="A22" s="1">
        <v>9</v>
      </c>
      <c r="B22">
        <v>9</v>
      </c>
    </row>
    <row r="23" spans="1:2" x14ac:dyDescent="0.25">
      <c r="A23" s="1">
        <v>10</v>
      </c>
      <c r="B23">
        <v>10</v>
      </c>
    </row>
    <row r="24" spans="1:2" x14ac:dyDescent="0.25">
      <c r="A24" s="1">
        <v>11</v>
      </c>
      <c r="B24">
        <v>11</v>
      </c>
    </row>
    <row r="25" spans="1:2" x14ac:dyDescent="0.25">
      <c r="A25" s="1">
        <v>12</v>
      </c>
      <c r="B25">
        <v>12</v>
      </c>
    </row>
    <row r="26" spans="1:2" x14ac:dyDescent="0.25">
      <c r="A26" s="1">
        <v>13</v>
      </c>
      <c r="B26">
        <v>13</v>
      </c>
    </row>
    <row r="27" spans="1:2" x14ac:dyDescent="0.25">
      <c r="A27" s="1">
        <v>14</v>
      </c>
      <c r="B27">
        <v>14</v>
      </c>
    </row>
    <row r="28" spans="1:2" x14ac:dyDescent="0.25">
      <c r="A28" s="1">
        <v>15</v>
      </c>
      <c r="B28">
        <v>15</v>
      </c>
    </row>
    <row r="29" spans="1:2" x14ac:dyDescent="0.25">
      <c r="A29" s="1">
        <v>16</v>
      </c>
      <c r="B29">
        <v>16</v>
      </c>
    </row>
    <row r="30" spans="1:2" x14ac:dyDescent="0.25">
      <c r="A30" s="1">
        <v>17</v>
      </c>
      <c r="B30">
        <v>17</v>
      </c>
    </row>
    <row r="31" spans="1:2" x14ac:dyDescent="0.25">
      <c r="A31" s="1">
        <v>18</v>
      </c>
      <c r="B31">
        <v>18</v>
      </c>
    </row>
    <row r="32" spans="1:2" x14ac:dyDescent="0.25">
      <c r="A32" s="1">
        <v>19</v>
      </c>
      <c r="B32">
        <v>19</v>
      </c>
    </row>
  </sheetData>
  <phoneticPr fontId="6" type="noConversion"/>
  <hyperlinks>
    <hyperlink ref="C6" r:id="rId1" xr:uid="{3DC8902E-049C-49B3-9BBB-34DB5E680176}"/>
    <hyperlink ref="C7" r:id="rId2" xr:uid="{E642D4CE-876D-4C77-99E4-C68555F56224}"/>
    <hyperlink ref="C8" r:id="rId3" xr:uid="{66FA3575-81A6-40FF-8DD2-44D217289FDC}"/>
  </hyperlinks>
  <pageMargins left="0.7" right="0.7" top="0.78740157499999996" bottom="0.78740157499999996"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C44D-20AD-4E5A-820D-267E01A69D9A}">
  <dimension ref="A1:M42"/>
  <sheetViews>
    <sheetView workbookViewId="0"/>
  </sheetViews>
  <sheetFormatPr baseColWidth="10" defaultRowHeight="15" x14ac:dyDescent="0.25"/>
  <cols>
    <col min="1" max="1" width="13.85546875" style="1" bestFit="1" customWidth="1"/>
    <col min="2" max="16384" width="11.42578125" style="1"/>
  </cols>
  <sheetData>
    <row r="1" spans="1:13" ht="15.75" thickBot="1" x14ac:dyDescent="0.3">
      <c r="B1" s="52" t="s">
        <v>36</v>
      </c>
      <c r="C1" s="53"/>
      <c r="D1" s="53"/>
      <c r="E1" s="54"/>
      <c r="F1" s="55" t="s">
        <v>35</v>
      </c>
      <c r="G1" s="53"/>
      <c r="H1" s="53"/>
      <c r="I1" s="54"/>
      <c r="J1" s="55" t="s">
        <v>34</v>
      </c>
      <c r="K1" s="53"/>
      <c r="L1" s="53"/>
      <c r="M1" s="54"/>
    </row>
    <row r="2" spans="1:13" s="3" customFormat="1" ht="30" customHeight="1" x14ac:dyDescent="0.25">
      <c r="A2" s="51" t="s">
        <v>74</v>
      </c>
      <c r="B2" s="12" t="s">
        <v>38</v>
      </c>
      <c r="C2" s="12" t="s">
        <v>39</v>
      </c>
      <c r="D2" s="12" t="s">
        <v>40</v>
      </c>
      <c r="E2" s="12" t="s">
        <v>41</v>
      </c>
      <c r="F2" s="12" t="s">
        <v>42</v>
      </c>
      <c r="G2" s="12" t="s">
        <v>43</v>
      </c>
      <c r="H2" s="12" t="s">
        <v>44</v>
      </c>
      <c r="I2" s="12" t="s">
        <v>45</v>
      </c>
      <c r="J2" s="12" t="s">
        <v>46</v>
      </c>
      <c r="K2" s="12" t="s">
        <v>47</v>
      </c>
      <c r="L2" s="12" t="s">
        <v>48</v>
      </c>
      <c r="M2" s="12" t="s">
        <v>49</v>
      </c>
    </row>
    <row r="3" spans="1:13" ht="15.75" thickBot="1" x14ac:dyDescent="0.3">
      <c r="A3" s="51"/>
      <c r="B3" s="10" t="s">
        <v>62</v>
      </c>
      <c r="C3" s="10" t="s">
        <v>63</v>
      </c>
      <c r="D3" s="10" t="s">
        <v>64</v>
      </c>
      <c r="E3" s="10" t="s">
        <v>65</v>
      </c>
      <c r="F3" s="10" t="s">
        <v>66</v>
      </c>
      <c r="G3" s="10" t="s">
        <v>67</v>
      </c>
      <c r="H3" s="10" t="s">
        <v>68</v>
      </c>
      <c r="I3" s="10" t="s">
        <v>69</v>
      </c>
      <c r="J3" s="10" t="s">
        <v>70</v>
      </c>
      <c r="K3" s="10" t="s">
        <v>71</v>
      </c>
      <c r="L3" s="10" t="s">
        <v>72</v>
      </c>
      <c r="M3" s="10" t="s">
        <v>73</v>
      </c>
    </row>
    <row r="4" spans="1:13" s="3" customFormat="1" ht="30" customHeight="1" x14ac:dyDescent="0.25">
      <c r="A4" s="51" t="s">
        <v>75</v>
      </c>
      <c r="B4" s="13" t="s">
        <v>50</v>
      </c>
      <c r="C4" s="12" t="s">
        <v>51</v>
      </c>
      <c r="D4" s="12" t="s">
        <v>52</v>
      </c>
      <c r="E4" s="12" t="s">
        <v>53</v>
      </c>
      <c r="F4" s="12" t="s">
        <v>54</v>
      </c>
      <c r="G4" s="12" t="s">
        <v>55</v>
      </c>
      <c r="H4" s="12" t="s">
        <v>56</v>
      </c>
      <c r="I4" s="12" t="s">
        <v>57</v>
      </c>
      <c r="J4" s="12" t="s">
        <v>58</v>
      </c>
      <c r="K4" s="12" t="s">
        <v>59</v>
      </c>
      <c r="L4" s="12" t="s">
        <v>60</v>
      </c>
      <c r="M4" s="12" t="s">
        <v>61</v>
      </c>
    </row>
    <row r="5" spans="1:13" ht="15.75" thickBot="1" x14ac:dyDescent="0.3">
      <c r="A5" s="51"/>
      <c r="B5" s="10" t="s">
        <v>62</v>
      </c>
      <c r="C5" s="10" t="s">
        <v>63</v>
      </c>
      <c r="D5" s="10" t="s">
        <v>64</v>
      </c>
      <c r="E5" s="10" t="s">
        <v>65</v>
      </c>
      <c r="F5" s="10" t="s">
        <v>66</v>
      </c>
      <c r="G5" s="10" t="s">
        <v>67</v>
      </c>
      <c r="H5" s="10" t="s">
        <v>68</v>
      </c>
      <c r="I5" s="10" t="s">
        <v>69</v>
      </c>
      <c r="J5" s="10" t="s">
        <v>70</v>
      </c>
      <c r="K5" s="10" t="s">
        <v>71</v>
      </c>
      <c r="L5" s="10" t="s">
        <v>72</v>
      </c>
      <c r="M5" s="10" t="s">
        <v>73</v>
      </c>
    </row>
    <row r="6" spans="1:13" x14ac:dyDescent="0.25">
      <c r="A6" s="11"/>
      <c r="B6" s="2"/>
      <c r="C6" s="2"/>
      <c r="D6" s="2"/>
      <c r="E6" s="2"/>
      <c r="F6" s="2"/>
      <c r="G6" s="2"/>
      <c r="H6" s="2"/>
      <c r="I6" s="2"/>
      <c r="J6" s="2"/>
      <c r="K6" s="2"/>
      <c r="L6" s="2"/>
      <c r="M6" s="2"/>
    </row>
    <row r="7" spans="1:13" x14ac:dyDescent="0.25">
      <c r="A7" s="8" t="s">
        <v>111</v>
      </c>
      <c r="B7" s="2" t="str">
        <f>"0"&amp;B5</f>
        <v>01011</v>
      </c>
      <c r="C7" s="2" t="str">
        <f t="shared" ref="C7:M7" si="0">"0"&amp;C5</f>
        <v>01010</v>
      </c>
      <c r="D7" s="2" t="str">
        <f t="shared" si="0"/>
        <v>01001</v>
      </c>
      <c r="E7" s="2" t="str">
        <f t="shared" si="0"/>
        <v>01000</v>
      </c>
      <c r="F7" s="2" t="str">
        <f t="shared" si="0"/>
        <v>00110</v>
      </c>
      <c r="G7" s="2" t="str">
        <f t="shared" si="0"/>
        <v>00101</v>
      </c>
      <c r="H7" s="2" t="str">
        <f t="shared" si="0"/>
        <v>00111</v>
      </c>
      <c r="I7" s="2" t="str">
        <f t="shared" si="0"/>
        <v>00100</v>
      </c>
      <c r="J7" s="2" t="str">
        <f t="shared" si="0"/>
        <v>00011</v>
      </c>
      <c r="K7" s="2" t="str">
        <f t="shared" si="0"/>
        <v>00010</v>
      </c>
      <c r="L7" s="2" t="str">
        <f t="shared" si="0"/>
        <v>00001</v>
      </c>
      <c r="M7" s="2" t="str">
        <f t="shared" si="0"/>
        <v>00000</v>
      </c>
    </row>
    <row r="8" spans="1:13" x14ac:dyDescent="0.25">
      <c r="A8" s="11"/>
      <c r="B8" s="2"/>
      <c r="C8" s="2"/>
      <c r="D8" s="2"/>
      <c r="E8" s="2"/>
      <c r="F8" s="2"/>
      <c r="G8" s="2"/>
      <c r="H8" s="2"/>
      <c r="I8" s="2"/>
      <c r="J8" s="2"/>
      <c r="K8" s="2"/>
      <c r="L8" s="2"/>
      <c r="M8" s="2"/>
    </row>
    <row r="9" spans="1:13" x14ac:dyDescent="0.25">
      <c r="A9" s="11" t="s">
        <v>112</v>
      </c>
      <c r="B9" s="34" t="str">
        <f>B7&amp;"_"&amp;C7&amp;"_"&amp;D7&amp;"_"&amp;E7&amp;"_"&amp;F7&amp;"_"&amp;G7&amp;"_"&amp;H7&amp;"_"&amp;I7&amp;"_"&amp;J7&amp;"_"&amp;K7&amp;"_"&amp;L7&amp;"_"&amp;M7</f>
        <v>01011_01010_01001_01000_00110_00101_00111_00100_00011_00010_00001_00000</v>
      </c>
      <c r="C9" s="2"/>
      <c r="D9" s="2"/>
      <c r="E9" s="2"/>
      <c r="F9" s="2"/>
      <c r="G9" s="2"/>
      <c r="H9" s="2"/>
      <c r="I9" s="2"/>
      <c r="J9" s="2"/>
      <c r="K9" s="2"/>
      <c r="L9" s="2"/>
      <c r="M9" s="2"/>
    </row>
    <row r="10" spans="1:13" x14ac:dyDescent="0.25">
      <c r="A10" s="11"/>
      <c r="B10" s="2"/>
      <c r="C10" s="2"/>
      <c r="D10" s="2"/>
      <c r="E10" s="2"/>
      <c r="F10" s="2"/>
      <c r="G10" s="2"/>
      <c r="H10" s="2"/>
      <c r="I10" s="2"/>
      <c r="J10" s="2"/>
      <c r="K10" s="2"/>
      <c r="L10" s="2"/>
      <c r="M10" s="2"/>
    </row>
    <row r="11" spans="1:13" x14ac:dyDescent="0.25">
      <c r="A11" s="11" t="s">
        <v>115</v>
      </c>
      <c r="B11" s="34" t="s">
        <v>113</v>
      </c>
      <c r="C11" s="2"/>
      <c r="D11" s="2"/>
      <c r="E11" s="2"/>
      <c r="F11" s="2"/>
      <c r="G11" s="2"/>
      <c r="H11" s="2"/>
      <c r="I11" s="2"/>
      <c r="J11" s="2"/>
      <c r="K11" s="2"/>
      <c r="L11" s="2"/>
      <c r="M11" s="2"/>
    </row>
    <row r="12" spans="1:13" x14ac:dyDescent="0.25">
      <c r="A12" s="11"/>
      <c r="B12" s="2"/>
      <c r="C12" s="2"/>
      <c r="D12" s="2"/>
      <c r="E12" s="2"/>
      <c r="F12" s="2"/>
      <c r="G12" s="2"/>
      <c r="H12" s="2"/>
      <c r="I12" s="2"/>
      <c r="J12" s="2"/>
      <c r="K12" s="2"/>
      <c r="L12" s="2"/>
      <c r="M12" s="2"/>
    </row>
    <row r="13" spans="1:13" ht="15.75" thickBot="1" x14ac:dyDescent="0.3">
      <c r="A13" s="7"/>
      <c r="B13" s="7"/>
      <c r="C13" s="7"/>
      <c r="D13" s="7"/>
      <c r="E13" s="7"/>
      <c r="F13" s="7"/>
      <c r="G13" s="7"/>
      <c r="H13" s="7"/>
      <c r="I13" s="7"/>
      <c r="J13" s="7"/>
      <c r="K13" s="7"/>
      <c r="L13" s="7"/>
      <c r="M13" s="7"/>
    </row>
    <row r="14" spans="1:13" ht="15.75" thickBot="1" x14ac:dyDescent="0.3">
      <c r="B14" s="52" t="s">
        <v>36</v>
      </c>
      <c r="C14" s="53"/>
      <c r="D14" s="53"/>
      <c r="E14" s="54"/>
      <c r="F14" s="55" t="s">
        <v>34</v>
      </c>
      <c r="G14" s="53"/>
      <c r="H14" s="53"/>
      <c r="I14" s="54"/>
      <c r="J14" s="7"/>
      <c r="K14" s="7"/>
      <c r="L14" s="7"/>
      <c r="M14" s="7"/>
    </row>
    <row r="15" spans="1:13" x14ac:dyDescent="0.25">
      <c r="A15" s="51" t="s">
        <v>74</v>
      </c>
      <c r="B15" s="9" t="s">
        <v>44</v>
      </c>
      <c r="C15" s="9" t="s">
        <v>42</v>
      </c>
      <c r="D15" s="9" t="s">
        <v>43</v>
      </c>
      <c r="E15" s="9" t="s">
        <v>45</v>
      </c>
      <c r="F15" s="9" t="s">
        <v>46</v>
      </c>
      <c r="G15" s="9" t="s">
        <v>47</v>
      </c>
      <c r="H15" s="9" t="s">
        <v>48</v>
      </c>
      <c r="I15" s="9" t="s">
        <v>49</v>
      </c>
      <c r="J15" s="7"/>
      <c r="K15" s="7"/>
      <c r="L15" s="7"/>
      <c r="M15" s="7"/>
    </row>
    <row r="16" spans="1:13" ht="15.75" thickBot="1" x14ac:dyDescent="0.3">
      <c r="A16" s="51"/>
      <c r="B16" s="10" t="s">
        <v>68</v>
      </c>
      <c r="C16" s="10" t="s">
        <v>66</v>
      </c>
      <c r="D16" s="10" t="s">
        <v>67</v>
      </c>
      <c r="E16" s="10" t="s">
        <v>69</v>
      </c>
      <c r="F16" s="10" t="s">
        <v>70</v>
      </c>
      <c r="G16" s="10" t="s">
        <v>71</v>
      </c>
      <c r="H16" s="10" t="s">
        <v>72</v>
      </c>
      <c r="I16" s="10" t="s">
        <v>73</v>
      </c>
      <c r="J16" s="7"/>
      <c r="K16" s="7"/>
      <c r="L16" s="7"/>
      <c r="M16" s="7"/>
    </row>
    <row r="17" spans="1:13" x14ac:dyDescent="0.25">
      <c r="A17" s="51" t="s">
        <v>75</v>
      </c>
      <c r="B17" s="9" t="s">
        <v>103</v>
      </c>
      <c r="C17" s="9" t="s">
        <v>104</v>
      </c>
      <c r="D17" s="9" t="s">
        <v>105</v>
      </c>
      <c r="E17" s="9" t="s">
        <v>106</v>
      </c>
      <c r="F17" s="9" t="s">
        <v>107</v>
      </c>
      <c r="G17" s="9" t="s">
        <v>108</v>
      </c>
      <c r="H17" s="9" t="s">
        <v>109</v>
      </c>
      <c r="I17" s="9" t="s">
        <v>110</v>
      </c>
      <c r="J17" s="7"/>
      <c r="K17" s="7"/>
      <c r="L17" s="7"/>
      <c r="M17" s="7"/>
    </row>
    <row r="18" spans="1:13" ht="15.75" thickBot="1" x14ac:dyDescent="0.3">
      <c r="A18" s="51"/>
      <c r="B18" s="10" t="s">
        <v>68</v>
      </c>
      <c r="C18" s="10" t="s">
        <v>66</v>
      </c>
      <c r="D18" s="10" t="s">
        <v>67</v>
      </c>
      <c r="E18" s="10" t="s">
        <v>69</v>
      </c>
      <c r="F18" s="10" t="s">
        <v>70</v>
      </c>
      <c r="G18" s="10" t="s">
        <v>71</v>
      </c>
      <c r="H18" s="10" t="s">
        <v>72</v>
      </c>
      <c r="I18" s="10" t="s">
        <v>73</v>
      </c>
    </row>
    <row r="19" spans="1:13" x14ac:dyDescent="0.25">
      <c r="A19" s="8"/>
    </row>
    <row r="20" spans="1:13" x14ac:dyDescent="0.25">
      <c r="A20" s="8" t="s">
        <v>111</v>
      </c>
      <c r="B20" s="1" t="str">
        <f>"00"&amp;B18</f>
        <v>000111</v>
      </c>
      <c r="C20" s="1" t="str">
        <f t="shared" ref="C20:I20" si="1">"00"&amp;C18</f>
        <v>000110</v>
      </c>
      <c r="D20" s="1" t="str">
        <f t="shared" si="1"/>
        <v>000101</v>
      </c>
      <c r="E20" s="1" t="str">
        <f t="shared" si="1"/>
        <v>000100</v>
      </c>
      <c r="F20" s="1" t="str">
        <f t="shared" si="1"/>
        <v>000011</v>
      </c>
      <c r="G20" s="1" t="str">
        <f t="shared" si="1"/>
        <v>000010</v>
      </c>
      <c r="H20" s="1" t="str">
        <f t="shared" si="1"/>
        <v>000001</v>
      </c>
      <c r="I20" s="1" t="str">
        <f t="shared" si="1"/>
        <v>000000</v>
      </c>
    </row>
    <row r="22" spans="1:13" x14ac:dyDescent="0.25">
      <c r="A22" s="11" t="s">
        <v>112</v>
      </c>
      <c r="B22" s="34" t="str">
        <f>B20&amp;"_"&amp;C20&amp;"_"&amp;D20&amp;"_"&amp;E20&amp;"_"&amp;F20&amp;"_"&amp;G20&amp;"_"&amp;H20&amp;"_"&amp;I20</f>
        <v>000111_000110_000101_000100_000011_000010_000001_000000</v>
      </c>
    </row>
    <row r="24" spans="1:13" x14ac:dyDescent="0.25">
      <c r="A24" s="11" t="s">
        <v>114</v>
      </c>
      <c r="B24" s="17" t="s">
        <v>125</v>
      </c>
      <c r="E24"/>
      <c r="F24"/>
    </row>
    <row r="25" spans="1:13" x14ac:dyDescent="0.25">
      <c r="E25"/>
      <c r="F25"/>
    </row>
    <row r="26" spans="1:13" x14ac:dyDescent="0.25">
      <c r="E26"/>
      <c r="F26"/>
    </row>
    <row r="27" spans="1:13" x14ac:dyDescent="0.25">
      <c r="E27"/>
      <c r="F27"/>
    </row>
    <row r="28" spans="1:13" x14ac:dyDescent="0.25">
      <c r="E28"/>
      <c r="F28"/>
    </row>
    <row r="29" spans="1:13" x14ac:dyDescent="0.25">
      <c r="E29"/>
      <c r="F29"/>
    </row>
    <row r="30" spans="1:13" x14ac:dyDescent="0.25">
      <c r="E30"/>
      <c r="F30"/>
    </row>
    <row r="31" spans="1:13" x14ac:dyDescent="0.25">
      <c r="E31"/>
      <c r="F31"/>
    </row>
    <row r="34" spans="5:6" x14ac:dyDescent="0.25">
      <c r="E34"/>
      <c r="F34"/>
    </row>
    <row r="36" spans="5:6" x14ac:dyDescent="0.25">
      <c r="E36"/>
      <c r="F36"/>
    </row>
    <row r="42" spans="5:6" x14ac:dyDescent="0.25">
      <c r="E42"/>
      <c r="F42"/>
    </row>
  </sheetData>
  <mergeCells count="9">
    <mergeCell ref="A15:A16"/>
    <mergeCell ref="A17:A18"/>
    <mergeCell ref="B1:E1"/>
    <mergeCell ref="F1:I1"/>
    <mergeCell ref="J1:M1"/>
    <mergeCell ref="A4:A5"/>
    <mergeCell ref="A2:A3"/>
    <mergeCell ref="F14:I14"/>
    <mergeCell ref="B14:E14"/>
  </mergeCells>
  <phoneticPr fontId="6" type="noConversion"/>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B715-CE6D-44A7-9969-C0ADACE536A6}">
  <dimension ref="A1:L6"/>
  <sheetViews>
    <sheetView tabSelected="1" zoomScale="190" zoomScaleNormal="190" workbookViewId="0">
      <selection activeCell="F7" sqref="F7"/>
    </sheetView>
  </sheetViews>
  <sheetFormatPr baseColWidth="10" defaultRowHeight="15" x14ac:dyDescent="0.25"/>
  <cols>
    <col min="6" max="8" width="6.28515625" customWidth="1"/>
    <col min="10" max="12" width="6.28515625" customWidth="1"/>
  </cols>
  <sheetData>
    <row r="1" spans="1:12" x14ac:dyDescent="0.25">
      <c r="A1" t="s">
        <v>34</v>
      </c>
      <c r="B1" t="s">
        <v>36</v>
      </c>
      <c r="C1" t="s">
        <v>119</v>
      </c>
      <c r="D1" t="s">
        <v>120</v>
      </c>
      <c r="F1" t="s">
        <v>226</v>
      </c>
      <c r="G1" t="s">
        <v>222</v>
      </c>
      <c r="H1" t="s">
        <v>227</v>
      </c>
      <c r="J1" t="s">
        <v>225</v>
      </c>
      <c r="K1" t="s">
        <v>224</v>
      </c>
      <c r="L1" t="s">
        <v>223</v>
      </c>
    </row>
    <row r="2" spans="1:12" x14ac:dyDescent="0.25">
      <c r="A2" t="s">
        <v>116</v>
      </c>
      <c r="B2" t="s">
        <v>117</v>
      </c>
      <c r="C2" t="s">
        <v>121</v>
      </c>
      <c r="D2" t="s">
        <v>122</v>
      </c>
      <c r="F2" t="s">
        <v>229</v>
      </c>
      <c r="G2" t="s">
        <v>3</v>
      </c>
      <c r="H2" t="s">
        <v>228</v>
      </c>
      <c r="J2" t="s">
        <v>228</v>
      </c>
      <c r="K2" t="s">
        <v>3</v>
      </c>
      <c r="L2" t="s">
        <v>229</v>
      </c>
    </row>
    <row r="3" spans="1:12" x14ac:dyDescent="0.25">
      <c r="A3" t="s">
        <v>118</v>
      </c>
      <c r="B3" t="s">
        <v>83</v>
      </c>
      <c r="C3" t="s">
        <v>123</v>
      </c>
      <c r="D3" t="s">
        <v>124</v>
      </c>
      <c r="F3" t="s">
        <v>223</v>
      </c>
      <c r="G3" t="s">
        <v>224</v>
      </c>
      <c r="H3" t="s">
        <v>225</v>
      </c>
      <c r="J3" t="s">
        <v>227</v>
      </c>
      <c r="K3" t="s">
        <v>222</v>
      </c>
      <c r="L3" t="s">
        <v>226</v>
      </c>
    </row>
    <row r="4" spans="1:12" x14ac:dyDescent="0.25">
      <c r="F4" s="63">
        <v>1</v>
      </c>
      <c r="G4" s="62">
        <v>0</v>
      </c>
      <c r="H4" s="63">
        <v>0</v>
      </c>
      <c r="I4" s="43"/>
      <c r="J4" s="63">
        <v>3</v>
      </c>
      <c r="K4" s="62">
        <v>2</v>
      </c>
      <c r="L4" s="63">
        <v>2</v>
      </c>
    </row>
    <row r="5" spans="1:12" x14ac:dyDescent="0.25">
      <c r="F5" s="62">
        <v>1</v>
      </c>
      <c r="G5" s="43"/>
      <c r="H5" s="62">
        <v>3</v>
      </c>
      <c r="I5" s="43"/>
      <c r="J5" s="62">
        <v>3</v>
      </c>
      <c r="K5" s="43"/>
      <c r="L5" s="62">
        <v>1</v>
      </c>
    </row>
    <row r="6" spans="1:12" x14ac:dyDescent="0.25">
      <c r="F6" s="63">
        <v>2</v>
      </c>
      <c r="G6" s="62">
        <v>2</v>
      </c>
      <c r="H6" s="63">
        <v>3</v>
      </c>
      <c r="I6" s="43"/>
      <c r="J6" s="63">
        <v>0</v>
      </c>
      <c r="K6" s="62">
        <v>0</v>
      </c>
      <c r="L6" s="63">
        <v>1</v>
      </c>
    </row>
  </sheetData>
  <pageMargins left="0.7" right="0.7" top="0.78740157499999996" bottom="0.78740157499999996"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41DC-4695-4E20-8BA2-3238986108B1}">
  <dimension ref="A2:P26"/>
  <sheetViews>
    <sheetView workbookViewId="0">
      <selection activeCell="G3" sqref="G3"/>
    </sheetView>
  </sheetViews>
  <sheetFormatPr baseColWidth="10" defaultRowHeight="15" x14ac:dyDescent="0.25"/>
  <cols>
    <col min="1" max="2" width="20.140625" customWidth="1"/>
    <col min="3" max="3" width="15.5703125" customWidth="1"/>
    <col min="4" max="4" width="14.42578125" customWidth="1"/>
    <col min="5" max="6" width="13" customWidth="1"/>
    <col min="7" max="7" width="52.140625" bestFit="1" customWidth="1"/>
    <col min="10" max="10" width="16.140625" bestFit="1" customWidth="1"/>
    <col min="11" max="16" width="20.85546875" customWidth="1"/>
  </cols>
  <sheetData>
    <row r="2" spans="1:16" x14ac:dyDescent="0.25">
      <c r="A2" t="s">
        <v>21</v>
      </c>
      <c r="B2" t="s">
        <v>24</v>
      </c>
      <c r="C2" s="1" t="s">
        <v>30</v>
      </c>
      <c r="D2" s="56" t="s">
        <v>23</v>
      </c>
      <c r="E2" s="56"/>
      <c r="F2" s="1" t="s">
        <v>28</v>
      </c>
      <c r="G2" t="s">
        <v>25</v>
      </c>
    </row>
    <row r="3" spans="1:16" x14ac:dyDescent="0.25">
      <c r="A3" t="s">
        <v>22</v>
      </c>
      <c r="B3" t="s">
        <v>27</v>
      </c>
      <c r="C3" s="1" t="s">
        <v>30</v>
      </c>
      <c r="D3" s="1" t="s">
        <v>23</v>
      </c>
      <c r="E3" s="1" t="s">
        <v>28</v>
      </c>
      <c r="F3" s="1" t="s">
        <v>29</v>
      </c>
      <c r="G3" t="s">
        <v>26</v>
      </c>
    </row>
    <row r="5" spans="1:16" s="3" customFormat="1" ht="30" x14ac:dyDescent="0.25">
      <c r="A5" s="3" t="s">
        <v>90</v>
      </c>
      <c r="B5" s="3" t="s">
        <v>93</v>
      </c>
      <c r="C5" s="14" t="s">
        <v>92</v>
      </c>
      <c r="D5" s="3" t="s">
        <v>91</v>
      </c>
    </row>
    <row r="6" spans="1:16" x14ac:dyDescent="0.25">
      <c r="A6" s="1" t="s">
        <v>84</v>
      </c>
      <c r="B6" s="1" t="s">
        <v>76</v>
      </c>
      <c r="C6" s="1" t="str">
        <f>B6&amp;"'"</f>
        <v>R'</v>
      </c>
      <c r="D6" s="1" t="str">
        <f>B6&amp;"2"</f>
        <v>R2</v>
      </c>
    </row>
    <row r="7" spans="1:16" x14ac:dyDescent="0.25">
      <c r="A7" s="1" t="s">
        <v>85</v>
      </c>
      <c r="B7" s="1" t="s">
        <v>82</v>
      </c>
      <c r="C7" s="1" t="str">
        <f t="shared" ref="C7:C11" si="0">B7&amp;"'"</f>
        <v>L'</v>
      </c>
      <c r="D7" s="1" t="str">
        <f t="shared" ref="D7:D11" si="1">B7&amp;"2"</f>
        <v>L2</v>
      </c>
    </row>
    <row r="8" spans="1:16" x14ac:dyDescent="0.25">
      <c r="A8" s="1" t="s">
        <v>86</v>
      </c>
      <c r="B8" s="1" t="s">
        <v>2</v>
      </c>
      <c r="C8" s="1" t="str">
        <f t="shared" si="0"/>
        <v>F'</v>
      </c>
      <c r="D8" s="1" t="str">
        <f t="shared" si="1"/>
        <v>F2</v>
      </c>
    </row>
    <row r="9" spans="1:16" x14ac:dyDescent="0.25">
      <c r="A9" s="1" t="s">
        <v>87</v>
      </c>
      <c r="B9" s="1" t="s">
        <v>23</v>
      </c>
      <c r="C9" s="1" t="str">
        <f t="shared" si="0"/>
        <v>B'</v>
      </c>
      <c r="D9" s="1" t="str">
        <f t="shared" si="1"/>
        <v>B2</v>
      </c>
    </row>
    <row r="10" spans="1:16" x14ac:dyDescent="0.25">
      <c r="A10" s="1" t="s">
        <v>88</v>
      </c>
      <c r="B10" s="1" t="s">
        <v>81</v>
      </c>
      <c r="C10" s="1" t="str">
        <f t="shared" si="0"/>
        <v>D'</v>
      </c>
      <c r="D10" s="1" t="str">
        <f t="shared" si="1"/>
        <v>D2</v>
      </c>
    </row>
    <row r="11" spans="1:16" x14ac:dyDescent="0.25">
      <c r="A11" s="1" t="s">
        <v>89</v>
      </c>
      <c r="B11" s="1" t="s">
        <v>37</v>
      </c>
      <c r="C11" s="1" t="str">
        <f t="shared" si="0"/>
        <v>U'</v>
      </c>
      <c r="D11" s="1" t="str">
        <f t="shared" si="1"/>
        <v>U2</v>
      </c>
    </row>
    <row r="13" spans="1:16" ht="36" customHeight="1" x14ac:dyDescent="0.25">
      <c r="J13" s="3"/>
      <c r="K13" s="3"/>
      <c r="L13" s="3"/>
      <c r="M13" s="3"/>
      <c r="N13" s="3"/>
      <c r="O13" s="3"/>
      <c r="P13" s="3"/>
    </row>
    <row r="14" spans="1:16" ht="36" customHeight="1" x14ac:dyDescent="0.25">
      <c r="J14" s="15"/>
      <c r="K14" s="1"/>
      <c r="L14" s="1"/>
      <c r="M14" s="1"/>
      <c r="N14" s="1"/>
      <c r="O14" s="1"/>
      <c r="P14" s="1"/>
    </row>
    <row r="15" spans="1:16" ht="36" customHeight="1" x14ac:dyDescent="0.25">
      <c r="J15" s="16"/>
      <c r="K15" s="1"/>
      <c r="L15" s="1"/>
      <c r="M15" s="1"/>
      <c r="N15" s="1"/>
      <c r="O15" s="1"/>
      <c r="P15" s="1"/>
    </row>
    <row r="16" spans="1:16" ht="36" customHeight="1" x14ac:dyDescent="0.25">
      <c r="J16" s="15"/>
      <c r="K16" s="1"/>
      <c r="L16" s="1"/>
      <c r="M16" s="1"/>
      <c r="N16" s="1"/>
      <c r="O16" s="1"/>
      <c r="P16" s="1"/>
    </row>
    <row r="17" ht="36" customHeight="1" x14ac:dyDescent="0.25"/>
    <row r="18" ht="36" customHeight="1" x14ac:dyDescent="0.25"/>
    <row r="19" ht="36" customHeight="1" x14ac:dyDescent="0.25"/>
    <row r="20" ht="36" customHeight="1" x14ac:dyDescent="0.25"/>
    <row r="21" ht="36" customHeight="1" x14ac:dyDescent="0.25"/>
    <row r="22" ht="36" customHeight="1" x14ac:dyDescent="0.25"/>
    <row r="23" ht="36" customHeight="1" x14ac:dyDescent="0.25"/>
    <row r="24" ht="36" customHeight="1" x14ac:dyDescent="0.25"/>
    <row r="25" ht="36" customHeight="1" x14ac:dyDescent="0.25"/>
    <row r="26" ht="36" customHeight="1" x14ac:dyDescent="0.25"/>
  </sheetData>
  <mergeCells count="1">
    <mergeCell ref="D2:E2"/>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4D68-A900-4A66-AE06-78CECBB91304}">
  <dimension ref="A1:G24"/>
  <sheetViews>
    <sheetView workbookViewId="0">
      <selection activeCell="D13" sqref="D13"/>
    </sheetView>
  </sheetViews>
  <sheetFormatPr baseColWidth="10" defaultRowHeight="15" x14ac:dyDescent="0.25"/>
  <cols>
    <col min="1" max="1" width="16.140625" bestFit="1" customWidth="1"/>
    <col min="2" max="7" width="20.85546875" customWidth="1"/>
  </cols>
  <sheetData>
    <row r="1" spans="1:7" ht="36" customHeight="1" thickBot="1" x14ac:dyDescent="0.3">
      <c r="A1" s="27" t="s">
        <v>90</v>
      </c>
      <c r="B1" s="28" t="s">
        <v>84</v>
      </c>
      <c r="C1" s="29" t="s">
        <v>85</v>
      </c>
      <c r="D1" s="29" t="s">
        <v>86</v>
      </c>
      <c r="E1" s="29" t="s">
        <v>87</v>
      </c>
      <c r="F1" s="29" t="s">
        <v>88</v>
      </c>
      <c r="G1" s="30" t="s">
        <v>89</v>
      </c>
    </row>
    <row r="2" spans="1:7" ht="36" customHeight="1" x14ac:dyDescent="0.25">
      <c r="A2" s="31" t="s">
        <v>93</v>
      </c>
      <c r="B2" s="24" t="s">
        <v>76</v>
      </c>
      <c r="C2" s="22" t="s">
        <v>82</v>
      </c>
      <c r="D2" s="22" t="s">
        <v>2</v>
      </c>
      <c r="E2" s="22" t="s">
        <v>23</v>
      </c>
      <c r="F2" s="22" t="s">
        <v>81</v>
      </c>
      <c r="G2" s="23" t="s">
        <v>37</v>
      </c>
    </row>
    <row r="3" spans="1:7" ht="36" customHeight="1" x14ac:dyDescent="0.25">
      <c r="A3" s="32" t="s">
        <v>92</v>
      </c>
      <c r="B3" s="25" t="str">
        <f t="shared" ref="B3:G3" si="0">B2&amp;"'"</f>
        <v>R'</v>
      </c>
      <c r="C3" s="18" t="str">
        <f t="shared" si="0"/>
        <v>L'</v>
      </c>
      <c r="D3" s="18" t="str">
        <f t="shared" si="0"/>
        <v>F'</v>
      </c>
      <c r="E3" s="18" t="str">
        <f t="shared" si="0"/>
        <v>B'</v>
      </c>
      <c r="F3" s="18" t="str">
        <f t="shared" si="0"/>
        <v>D'</v>
      </c>
      <c r="G3" s="19" t="str">
        <f t="shared" si="0"/>
        <v>U'</v>
      </c>
    </row>
    <row r="4" spans="1:7" ht="36" customHeight="1" thickBot="1" x14ac:dyDescent="0.3">
      <c r="A4" s="33" t="s">
        <v>91</v>
      </c>
      <c r="B4" s="26" t="str">
        <f t="shared" ref="B4:G4" si="1">B2&amp;"2"</f>
        <v>R2</v>
      </c>
      <c r="C4" s="20" t="str">
        <f t="shared" si="1"/>
        <v>L2</v>
      </c>
      <c r="D4" s="20" t="str">
        <f t="shared" si="1"/>
        <v>F2</v>
      </c>
      <c r="E4" s="20" t="str">
        <f t="shared" si="1"/>
        <v>B2</v>
      </c>
      <c r="F4" s="20" t="str">
        <f t="shared" si="1"/>
        <v>D2</v>
      </c>
      <c r="G4" s="21" t="str">
        <f t="shared" si="1"/>
        <v>U2</v>
      </c>
    </row>
    <row r="6" spans="1:7" x14ac:dyDescent="0.25">
      <c r="B6" t="s">
        <v>102</v>
      </c>
    </row>
    <row r="7" spans="1:7" x14ac:dyDescent="0.25">
      <c r="A7">
        <v>1</v>
      </c>
      <c r="B7" t="s">
        <v>76</v>
      </c>
      <c r="D7" t="s">
        <v>126</v>
      </c>
      <c r="E7" t="s">
        <v>127</v>
      </c>
    </row>
    <row r="8" spans="1:7" x14ac:dyDescent="0.25">
      <c r="A8">
        <v>2</v>
      </c>
      <c r="B8" t="s">
        <v>77</v>
      </c>
      <c r="D8">
        <v>180</v>
      </c>
      <c r="E8">
        <v>270</v>
      </c>
    </row>
    <row r="9" spans="1:7" x14ac:dyDescent="0.25">
      <c r="A9">
        <v>3</v>
      </c>
      <c r="B9" t="s">
        <v>78</v>
      </c>
      <c r="D9">
        <v>270</v>
      </c>
      <c r="E9">
        <v>360</v>
      </c>
    </row>
    <row r="10" spans="1:7" x14ac:dyDescent="0.25">
      <c r="A10">
        <v>4</v>
      </c>
      <c r="B10" t="s">
        <v>82</v>
      </c>
    </row>
    <row r="11" spans="1:7" x14ac:dyDescent="0.25">
      <c r="A11">
        <v>5</v>
      </c>
      <c r="B11" t="s">
        <v>94</v>
      </c>
    </row>
    <row r="12" spans="1:7" x14ac:dyDescent="0.25">
      <c r="A12">
        <v>6</v>
      </c>
      <c r="B12" t="s">
        <v>95</v>
      </c>
    </row>
    <row r="13" spans="1:7" x14ac:dyDescent="0.25">
      <c r="A13">
        <v>7</v>
      </c>
      <c r="B13" t="s">
        <v>2</v>
      </c>
    </row>
    <row r="14" spans="1:7" x14ac:dyDescent="0.25">
      <c r="A14">
        <v>8</v>
      </c>
      <c r="B14" t="s">
        <v>96</v>
      </c>
    </row>
    <row r="15" spans="1:7" x14ac:dyDescent="0.25">
      <c r="A15">
        <v>9</v>
      </c>
      <c r="B15" t="s">
        <v>97</v>
      </c>
    </row>
    <row r="16" spans="1:7" x14ac:dyDescent="0.25">
      <c r="A16">
        <v>10</v>
      </c>
      <c r="B16" t="s">
        <v>23</v>
      </c>
    </row>
    <row r="17" spans="1:2" x14ac:dyDescent="0.25">
      <c r="A17">
        <v>11</v>
      </c>
      <c r="B17" t="s">
        <v>98</v>
      </c>
    </row>
    <row r="18" spans="1:2" x14ac:dyDescent="0.25">
      <c r="A18">
        <v>12</v>
      </c>
      <c r="B18" t="s">
        <v>99</v>
      </c>
    </row>
    <row r="19" spans="1:2" x14ac:dyDescent="0.25">
      <c r="A19">
        <v>13</v>
      </c>
      <c r="B19" t="s">
        <v>81</v>
      </c>
    </row>
    <row r="20" spans="1:2" x14ac:dyDescent="0.25">
      <c r="A20">
        <v>14</v>
      </c>
      <c r="B20" t="s">
        <v>100</v>
      </c>
    </row>
    <row r="21" spans="1:2" x14ac:dyDescent="0.25">
      <c r="A21">
        <v>15</v>
      </c>
      <c r="B21" t="s">
        <v>101</v>
      </c>
    </row>
    <row r="22" spans="1:2" x14ac:dyDescent="0.25">
      <c r="A22">
        <v>16</v>
      </c>
      <c r="B22" t="s">
        <v>37</v>
      </c>
    </row>
    <row r="23" spans="1:2" x14ac:dyDescent="0.25">
      <c r="A23">
        <v>17</v>
      </c>
      <c r="B23" t="s">
        <v>79</v>
      </c>
    </row>
    <row r="24" spans="1:2" x14ac:dyDescent="0.25">
      <c r="A24">
        <v>18</v>
      </c>
      <c r="B24" t="s">
        <v>80</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41BD-9241-4697-A3F6-7CC96C63572D}">
  <dimension ref="A1:AN105"/>
  <sheetViews>
    <sheetView topLeftCell="D26" zoomScaleNormal="100" workbookViewId="0">
      <selection activeCell="AE34" sqref="AE34"/>
    </sheetView>
  </sheetViews>
  <sheetFormatPr baseColWidth="10" defaultRowHeight="15" x14ac:dyDescent="0.25"/>
  <cols>
    <col min="1" max="1" width="11.42578125" style="39"/>
    <col min="2" max="3" width="22.28515625" style="39" bestFit="1" customWidth="1"/>
    <col min="4" max="5" width="11.42578125" style="39"/>
    <col min="6" max="6" width="22.5703125" style="39" bestFit="1" customWidth="1"/>
    <col min="7" max="9" width="3.28515625" style="39" customWidth="1"/>
    <col min="10" max="10" width="4" style="39" bestFit="1" customWidth="1"/>
    <col min="11" max="12" width="3.28515625" style="39" customWidth="1"/>
    <col min="13" max="13" width="4.5703125" style="39" customWidth="1"/>
    <col min="14" max="26" width="3.28515625" style="39" customWidth="1"/>
    <col min="27" max="27" width="7.28515625" style="39" customWidth="1"/>
    <col min="28" max="28" width="2.5703125" style="39" customWidth="1"/>
    <col min="29" max="30" width="11.42578125" style="39"/>
    <col min="31" max="31" width="12.140625" style="39" bestFit="1" customWidth="1"/>
    <col min="32" max="34" width="3.28515625" style="39" customWidth="1"/>
    <col min="35" max="40" width="3.85546875" style="39" customWidth="1"/>
    <col min="41" max="16384" width="11.42578125" style="39"/>
  </cols>
  <sheetData>
    <row r="1" spans="1:6" x14ac:dyDescent="0.25">
      <c r="A1" s="39" t="s">
        <v>128</v>
      </c>
    </row>
    <row r="2" spans="1:6" x14ac:dyDescent="0.25">
      <c r="A2" s="57" t="s">
        <v>129</v>
      </c>
      <c r="B2" s="57"/>
      <c r="C2" s="57"/>
      <c r="D2" s="57"/>
      <c r="E2" s="57"/>
      <c r="F2" s="57"/>
    </row>
    <row r="3" spans="1:6" ht="34.5" customHeight="1" x14ac:dyDescent="0.25">
      <c r="A3" s="57" t="s">
        <v>130</v>
      </c>
      <c r="B3" s="57"/>
      <c r="C3" s="57"/>
      <c r="D3" s="57"/>
      <c r="E3" s="57"/>
      <c r="F3" s="57"/>
    </row>
    <row r="4" spans="1:6" x14ac:dyDescent="0.25">
      <c r="A4" s="57" t="s">
        <v>189</v>
      </c>
      <c r="B4" s="57"/>
      <c r="C4" s="57"/>
      <c r="D4" s="57"/>
      <c r="E4" s="57"/>
      <c r="F4" s="57"/>
    </row>
    <row r="5" spans="1:6" x14ac:dyDescent="0.25">
      <c r="A5" s="57" t="s">
        <v>190</v>
      </c>
      <c r="B5" s="57"/>
      <c r="C5" s="57"/>
      <c r="D5" s="57"/>
      <c r="E5" s="57"/>
      <c r="F5" s="57"/>
    </row>
    <row r="6" spans="1:6" x14ac:dyDescent="0.25">
      <c r="A6" s="57" t="s">
        <v>191</v>
      </c>
      <c r="B6" s="57"/>
      <c r="C6" s="57"/>
      <c r="D6" s="57"/>
      <c r="E6" s="57"/>
      <c r="F6" s="57"/>
    </row>
    <row r="7" spans="1:6" x14ac:dyDescent="0.25">
      <c r="A7" s="57" t="s">
        <v>192</v>
      </c>
      <c r="B7" s="57"/>
      <c r="C7" s="57"/>
      <c r="D7" s="57"/>
      <c r="E7" s="57"/>
      <c r="F7" s="57"/>
    </row>
    <row r="8" spans="1:6" x14ac:dyDescent="0.25">
      <c r="A8" s="57"/>
      <c r="B8" s="57"/>
      <c r="C8" s="57"/>
      <c r="D8" s="57"/>
      <c r="E8" s="57"/>
      <c r="F8" s="57"/>
    </row>
    <row r="9" spans="1:6" x14ac:dyDescent="0.25">
      <c r="A9" s="57"/>
      <c r="B9" s="57"/>
      <c r="C9" s="57"/>
      <c r="D9" s="57"/>
      <c r="E9" s="57"/>
      <c r="F9" s="57"/>
    </row>
    <row r="10" spans="1:6" x14ac:dyDescent="0.25">
      <c r="A10" s="57"/>
      <c r="B10" s="57"/>
      <c r="C10" s="57"/>
      <c r="D10" s="57"/>
      <c r="E10" s="57"/>
      <c r="F10" s="57"/>
    </row>
    <row r="11" spans="1:6" x14ac:dyDescent="0.25">
      <c r="A11" s="57"/>
      <c r="B11" s="57"/>
      <c r="C11" s="57"/>
      <c r="D11" s="57"/>
      <c r="E11" s="57"/>
      <c r="F11" s="57"/>
    </row>
    <row r="12" spans="1:6" x14ac:dyDescent="0.25">
      <c r="A12" s="57"/>
      <c r="B12" s="57"/>
      <c r="C12" s="57"/>
      <c r="D12" s="57"/>
      <c r="E12" s="57"/>
      <c r="F12" s="57"/>
    </row>
    <row r="13" spans="1:6" x14ac:dyDescent="0.25">
      <c r="A13" s="57" t="s">
        <v>195</v>
      </c>
      <c r="B13" s="57"/>
      <c r="C13" s="57"/>
      <c r="D13" s="57"/>
      <c r="E13" s="57"/>
      <c r="F13" s="57"/>
    </row>
    <row r="14" spans="1:6" ht="33.75" customHeight="1" x14ac:dyDescent="0.25">
      <c r="A14" s="57" t="s">
        <v>193</v>
      </c>
      <c r="B14" s="57"/>
      <c r="C14" s="57"/>
      <c r="D14" s="57"/>
      <c r="E14" s="57"/>
      <c r="F14" s="57"/>
    </row>
    <row r="15" spans="1:6" x14ac:dyDescent="0.25">
      <c r="A15" s="57" t="s">
        <v>194</v>
      </c>
      <c r="B15" s="57"/>
      <c r="C15" s="57"/>
      <c r="D15" s="57"/>
      <c r="E15" s="57"/>
      <c r="F15" s="57"/>
    </row>
    <row r="16" spans="1:6" x14ac:dyDescent="0.25">
      <c r="A16" s="57"/>
      <c r="B16" s="57"/>
      <c r="C16" s="57"/>
      <c r="D16" s="57"/>
      <c r="E16" s="57"/>
      <c r="F16" s="57"/>
    </row>
    <row r="17" spans="1:13" x14ac:dyDescent="0.25">
      <c r="A17" s="57"/>
      <c r="B17" s="57"/>
      <c r="C17" s="57"/>
      <c r="D17" s="57"/>
      <c r="E17" s="57"/>
      <c r="F17" s="57"/>
    </row>
    <row r="18" spans="1:13" x14ac:dyDescent="0.25">
      <c r="A18" s="57"/>
      <c r="B18" s="57" t="s">
        <v>131</v>
      </c>
      <c r="C18" s="57"/>
      <c r="D18" s="57"/>
      <c r="E18" s="57"/>
      <c r="F18" s="57"/>
    </row>
    <row r="19" spans="1:13" x14ac:dyDescent="0.25">
      <c r="A19" s="57"/>
      <c r="B19" s="57" t="s">
        <v>132</v>
      </c>
      <c r="C19" s="57"/>
      <c r="D19" s="57"/>
      <c r="E19" s="57"/>
      <c r="F19" s="57"/>
    </row>
    <row r="20" spans="1:13" x14ac:dyDescent="0.25">
      <c r="A20" s="57"/>
      <c r="B20" s="57" t="s">
        <v>133</v>
      </c>
      <c r="C20" s="57"/>
      <c r="D20" s="57"/>
      <c r="E20" s="57"/>
      <c r="F20" s="57"/>
    </row>
    <row r="21" spans="1:13" x14ac:dyDescent="0.25">
      <c r="A21" s="57"/>
      <c r="B21" s="57"/>
      <c r="C21" s="57"/>
      <c r="D21" s="57"/>
      <c r="E21" s="57"/>
      <c r="F21" s="57"/>
    </row>
    <row r="22" spans="1:13" x14ac:dyDescent="0.25">
      <c r="A22" s="57"/>
      <c r="B22" s="57"/>
      <c r="C22" s="57"/>
      <c r="D22" s="57"/>
      <c r="E22" s="57"/>
      <c r="F22" s="57"/>
    </row>
    <row r="23" spans="1:13" x14ac:dyDescent="0.25">
      <c r="A23" s="57"/>
      <c r="B23" s="57"/>
      <c r="C23" s="57"/>
      <c r="D23" s="57"/>
      <c r="E23" s="57"/>
      <c r="F23" s="57"/>
    </row>
    <row r="24" spans="1:13" x14ac:dyDescent="0.25">
      <c r="A24" s="57"/>
      <c r="B24" s="57"/>
      <c r="C24" s="57"/>
      <c r="D24" s="57"/>
      <c r="E24" s="57"/>
      <c r="F24" s="57"/>
    </row>
    <row r="25" spans="1:13" x14ac:dyDescent="0.25">
      <c r="A25" s="57"/>
      <c r="B25" s="57"/>
      <c r="C25" s="57"/>
      <c r="D25" s="57"/>
      <c r="E25" s="57"/>
      <c r="F25" s="57"/>
    </row>
    <row r="26" spans="1:13" x14ac:dyDescent="0.25">
      <c r="A26" s="57"/>
      <c r="B26" s="57"/>
      <c r="C26" s="57"/>
      <c r="D26" s="57"/>
      <c r="E26" s="57"/>
      <c r="F26" s="57"/>
    </row>
    <row r="27" spans="1:13" x14ac:dyDescent="0.25">
      <c r="A27" s="57"/>
      <c r="B27" s="57"/>
      <c r="C27" s="57"/>
      <c r="D27" s="57"/>
      <c r="E27" s="57"/>
      <c r="F27" s="57"/>
    </row>
    <row r="28" spans="1:13" x14ac:dyDescent="0.25">
      <c r="A28" s="57"/>
      <c r="B28" s="57"/>
      <c r="C28" s="57"/>
      <c r="D28" s="57"/>
      <c r="E28" s="57"/>
      <c r="F28" s="57"/>
    </row>
    <row r="29" spans="1:13" x14ac:dyDescent="0.25">
      <c r="A29" s="57"/>
      <c r="B29" s="57"/>
      <c r="C29" s="57"/>
      <c r="D29" s="57"/>
      <c r="E29" s="57"/>
      <c r="F29" s="57"/>
    </row>
    <row r="30" spans="1:13" x14ac:dyDescent="0.25">
      <c r="A30" s="61"/>
      <c r="B30" s="61"/>
      <c r="C30" s="61"/>
      <c r="D30" s="61"/>
      <c r="E30" s="61"/>
      <c r="F30" s="61"/>
    </row>
    <row r="31" spans="1:13" x14ac:dyDescent="0.25">
      <c r="A31" s="61"/>
      <c r="B31" s="61"/>
      <c r="C31" s="61"/>
      <c r="D31" s="61"/>
      <c r="E31" s="61"/>
      <c r="F31" s="61"/>
    </row>
    <row r="32" spans="1:13" ht="15.75" thickBot="1" x14ac:dyDescent="0.3">
      <c r="M32" s="39" t="s">
        <v>220</v>
      </c>
    </row>
    <row r="33" spans="10:31" ht="15.75" thickBot="1" x14ac:dyDescent="0.3">
      <c r="M33" s="47" t="s">
        <v>188</v>
      </c>
      <c r="N33" s="40" t="s">
        <v>138</v>
      </c>
      <c r="O33" s="41" t="s">
        <v>141</v>
      </c>
      <c r="P33" s="42" t="s">
        <v>144</v>
      </c>
    </row>
    <row r="34" spans="10:31" x14ac:dyDescent="0.25">
      <c r="M34" s="48">
        <v>0</v>
      </c>
      <c r="N34" s="46">
        <v>0</v>
      </c>
      <c r="O34" s="44">
        <v>1</v>
      </c>
      <c r="P34" s="45">
        <v>1</v>
      </c>
      <c r="S34" s="39" t="str">
        <f t="shared" ref="S34:S45" si="0">N34&amp;", "&amp;O34&amp;", "&amp;P34</f>
        <v>0, 1, 1</v>
      </c>
      <c r="W34" s="39" t="s">
        <v>196</v>
      </c>
      <c r="AC34" s="39" t="str">
        <f>M34&amp;": ("&amp;W34&amp;"),"</f>
        <v>0: (0, 1, 1),</v>
      </c>
      <c r="AE34" s="39" t="str">
        <f>_xlfn.TEXTJOIN(" ",TRUE,AC34:AC53)</f>
        <v>0: (0, 1, 1), 1: (-1, 1, 0), 2: (0, 1, -1), 3: (1, 1, 0), 4: (1, 0, -1), 5: (-1, 0, -1), 6: (-1, 0, 1), 7: (1, 0, 1), 8: (0, -1, 1), 9: (-1, -1, 0), 10: (0, -1, -1), 11: (1, -1, 0), 100: (1, 1, 1), 101: (-1, 1, 1), 102: (-1, 1, -1), 103: (1, 1, -1), 104: (1, -1, 1), 105: (-1, -1, 1), 106: (-1, -1, -1), 107: (1, -1, -1),</v>
      </c>
    </row>
    <row r="35" spans="10:31" x14ac:dyDescent="0.25">
      <c r="M35" s="49">
        <v>1</v>
      </c>
      <c r="N35" s="25">
        <v>-1</v>
      </c>
      <c r="O35" s="18">
        <v>1</v>
      </c>
      <c r="P35" s="19">
        <v>0</v>
      </c>
      <c r="S35" s="39" t="str">
        <f t="shared" si="0"/>
        <v>-1, 1, 0</v>
      </c>
      <c r="W35" s="39" t="s">
        <v>197</v>
      </c>
      <c r="AC35" s="39" t="str">
        <f t="shared" ref="AC35:AC45" si="1">M35&amp;": ("&amp;W35&amp;"),"</f>
        <v>1: (-1, 1, 0),</v>
      </c>
    </row>
    <row r="36" spans="10:31" x14ac:dyDescent="0.25">
      <c r="M36" s="49">
        <v>2</v>
      </c>
      <c r="N36" s="25">
        <v>0</v>
      </c>
      <c r="O36" s="18">
        <v>1</v>
      </c>
      <c r="P36" s="19">
        <v>-1</v>
      </c>
      <c r="S36" s="39" t="str">
        <f t="shared" si="0"/>
        <v>0, 1, -1</v>
      </c>
      <c r="W36" s="39" t="s">
        <v>198</v>
      </c>
      <c r="AC36" s="39" t="str">
        <f t="shared" si="1"/>
        <v>2: (0, 1, -1),</v>
      </c>
      <c r="AE36" s="39" t="s">
        <v>221</v>
      </c>
    </row>
    <row r="37" spans="10:31" x14ac:dyDescent="0.25">
      <c r="M37" s="49">
        <v>3</v>
      </c>
      <c r="N37" s="25">
        <v>1</v>
      </c>
      <c r="O37" s="18">
        <v>1</v>
      </c>
      <c r="P37" s="19">
        <v>0</v>
      </c>
      <c r="S37" s="39" t="str">
        <f t="shared" si="0"/>
        <v>1, 1, 0</v>
      </c>
      <c r="W37" s="39" t="s">
        <v>199</v>
      </c>
      <c r="AC37" s="39" t="str">
        <f t="shared" si="1"/>
        <v>3: (1, 1, 0),</v>
      </c>
    </row>
    <row r="38" spans="10:31" x14ac:dyDescent="0.25">
      <c r="M38" s="49">
        <v>4</v>
      </c>
      <c r="N38" s="25">
        <v>1</v>
      </c>
      <c r="O38" s="18">
        <v>0</v>
      </c>
      <c r="P38" s="19">
        <v>-1</v>
      </c>
      <c r="S38" s="39" t="str">
        <f t="shared" si="0"/>
        <v>1, 0, -1</v>
      </c>
      <c r="W38" s="39" t="s">
        <v>200</v>
      </c>
      <c r="AC38" s="39" t="str">
        <f t="shared" si="1"/>
        <v>4: (1, 0, -1),</v>
      </c>
    </row>
    <row r="39" spans="10:31" x14ac:dyDescent="0.25">
      <c r="M39" s="49">
        <v>5</v>
      </c>
      <c r="N39" s="25">
        <v>-1</v>
      </c>
      <c r="O39" s="18">
        <v>0</v>
      </c>
      <c r="P39" s="19">
        <v>-1</v>
      </c>
      <c r="S39" s="39" t="str">
        <f t="shared" si="0"/>
        <v>-1, 0, -1</v>
      </c>
      <c r="W39" s="39" t="s">
        <v>201</v>
      </c>
      <c r="AC39" s="39" t="str">
        <f t="shared" si="1"/>
        <v>5: (-1, 0, -1),</v>
      </c>
    </row>
    <row r="40" spans="10:31" x14ac:dyDescent="0.25">
      <c r="M40" s="49">
        <v>6</v>
      </c>
      <c r="N40" s="25">
        <v>-1</v>
      </c>
      <c r="O40" s="18">
        <v>0</v>
      </c>
      <c r="P40" s="19">
        <v>1</v>
      </c>
      <c r="S40" s="39" t="str">
        <f t="shared" si="0"/>
        <v>-1, 0, 1</v>
      </c>
      <c r="W40" s="39" t="s">
        <v>202</v>
      </c>
      <c r="AC40" s="39" t="str">
        <f t="shared" si="1"/>
        <v>6: (-1, 0, 1),</v>
      </c>
    </row>
    <row r="41" spans="10:31" x14ac:dyDescent="0.25">
      <c r="M41" s="49">
        <v>7</v>
      </c>
      <c r="N41" s="25">
        <v>1</v>
      </c>
      <c r="O41" s="18">
        <v>0</v>
      </c>
      <c r="P41" s="19">
        <v>1</v>
      </c>
      <c r="S41" s="39" t="str">
        <f t="shared" si="0"/>
        <v>1, 0, 1</v>
      </c>
      <c r="W41" s="39" t="s">
        <v>203</v>
      </c>
      <c r="AC41" s="39" t="str">
        <f t="shared" si="1"/>
        <v>7: (1, 0, 1),</v>
      </c>
    </row>
    <row r="42" spans="10:31" x14ac:dyDescent="0.25">
      <c r="M42" s="49">
        <v>8</v>
      </c>
      <c r="N42" s="25">
        <v>0</v>
      </c>
      <c r="O42" s="18">
        <v>-1</v>
      </c>
      <c r="P42" s="19">
        <v>1</v>
      </c>
      <c r="S42" s="39" t="str">
        <f t="shared" si="0"/>
        <v>0, -1, 1</v>
      </c>
      <c r="W42" s="39" t="s">
        <v>204</v>
      </c>
      <c r="AC42" s="39" t="str">
        <f t="shared" si="1"/>
        <v>8: (0, -1, 1),</v>
      </c>
    </row>
    <row r="43" spans="10:31" x14ac:dyDescent="0.25">
      <c r="M43" s="49">
        <v>9</v>
      </c>
      <c r="N43" s="25">
        <v>-1</v>
      </c>
      <c r="O43" s="18">
        <v>-1</v>
      </c>
      <c r="P43" s="19">
        <v>0</v>
      </c>
      <c r="S43" s="39" t="str">
        <f t="shared" si="0"/>
        <v>-1, -1, 0</v>
      </c>
      <c r="W43" s="39" t="s">
        <v>205</v>
      </c>
      <c r="AC43" s="39" t="str">
        <f t="shared" si="1"/>
        <v>9: (-1, -1, 0),</v>
      </c>
    </row>
    <row r="44" spans="10:31" x14ac:dyDescent="0.25">
      <c r="M44" s="49">
        <v>10</v>
      </c>
      <c r="N44" s="25">
        <v>0</v>
      </c>
      <c r="O44" s="18">
        <v>-1</v>
      </c>
      <c r="P44" s="19">
        <v>-1</v>
      </c>
      <c r="S44" s="39" t="str">
        <f t="shared" si="0"/>
        <v>0, -1, -1</v>
      </c>
      <c r="W44" s="39" t="s">
        <v>206</v>
      </c>
      <c r="AC44" s="39" t="str">
        <f t="shared" si="1"/>
        <v>10: (0, -1, -1),</v>
      </c>
    </row>
    <row r="45" spans="10:31" x14ac:dyDescent="0.25">
      <c r="M45" s="49">
        <v>11</v>
      </c>
      <c r="N45" s="25">
        <v>1</v>
      </c>
      <c r="O45" s="18">
        <v>-1</v>
      </c>
      <c r="P45" s="19">
        <v>0</v>
      </c>
      <c r="S45" s="39" t="str">
        <f t="shared" si="0"/>
        <v>1, -1, 0</v>
      </c>
      <c r="W45" s="39" t="s">
        <v>207</v>
      </c>
      <c r="AC45" s="39" t="str">
        <f t="shared" si="1"/>
        <v>11: (1, -1, 0),</v>
      </c>
    </row>
    <row r="46" spans="10:31" x14ac:dyDescent="0.25">
      <c r="J46" s="38">
        <f>100+M46</f>
        <v>200</v>
      </c>
      <c r="M46" s="49">
        <v>100</v>
      </c>
      <c r="N46" s="25">
        <v>1</v>
      </c>
      <c r="O46" s="18">
        <v>1</v>
      </c>
      <c r="P46" s="19">
        <v>1</v>
      </c>
      <c r="S46" s="39" t="str">
        <f>N46&amp;", "&amp;O46&amp;", "&amp;P46</f>
        <v>1, 1, 1</v>
      </c>
      <c r="W46" s="39" t="s">
        <v>208</v>
      </c>
      <c r="AC46" s="39" t="str">
        <f t="shared" ref="AC46:AC53" si="2">M46&amp;": ("&amp;W46&amp;"),"</f>
        <v>100: (1, 1, 1),</v>
      </c>
    </row>
    <row r="47" spans="10:31" x14ac:dyDescent="0.25">
      <c r="J47" s="38">
        <f t="shared" ref="J47:J53" si="3">100+M47</f>
        <v>201</v>
      </c>
      <c r="M47" s="49">
        <v>101</v>
      </c>
      <c r="N47" s="25">
        <v>-1</v>
      </c>
      <c r="O47" s="18">
        <v>1</v>
      </c>
      <c r="P47" s="19">
        <v>1</v>
      </c>
      <c r="S47" s="39" t="str">
        <f>N47&amp;", "&amp;O47&amp;", "&amp;P47</f>
        <v>-1, 1, 1</v>
      </c>
      <c r="W47" s="39" t="s">
        <v>209</v>
      </c>
      <c r="AC47" s="39" t="str">
        <f t="shared" si="2"/>
        <v>101: (-1, 1, 1),</v>
      </c>
    </row>
    <row r="48" spans="10:31" x14ac:dyDescent="0.25">
      <c r="J48" s="38">
        <f t="shared" si="3"/>
        <v>202</v>
      </c>
      <c r="M48" s="49">
        <v>102</v>
      </c>
      <c r="N48" s="25">
        <v>-1</v>
      </c>
      <c r="O48" s="18">
        <v>1</v>
      </c>
      <c r="P48" s="19">
        <v>-1</v>
      </c>
      <c r="S48" s="39" t="str">
        <f t="shared" ref="S48:S53" si="4">N48&amp;", "&amp;O48&amp;", "&amp;P48</f>
        <v>-1, 1, -1</v>
      </c>
      <c r="W48" s="39" t="s">
        <v>210</v>
      </c>
      <c r="AC48" s="39" t="str">
        <f t="shared" si="2"/>
        <v>102: (-1, 1, -1),</v>
      </c>
    </row>
    <row r="49" spans="7:30" x14ac:dyDescent="0.25">
      <c r="J49" s="38">
        <f t="shared" si="3"/>
        <v>203</v>
      </c>
      <c r="M49" s="49">
        <v>103</v>
      </c>
      <c r="N49" s="25">
        <v>1</v>
      </c>
      <c r="O49" s="18">
        <v>1</v>
      </c>
      <c r="P49" s="19">
        <v>-1</v>
      </c>
      <c r="S49" s="39" t="str">
        <f t="shared" si="4"/>
        <v>1, 1, -1</v>
      </c>
      <c r="W49" s="39" t="s">
        <v>211</v>
      </c>
      <c r="AC49" s="39" t="str">
        <f t="shared" si="2"/>
        <v>103: (1, 1, -1),</v>
      </c>
      <c r="AD49" s="39" t="s">
        <v>208</v>
      </c>
    </row>
    <row r="50" spans="7:30" x14ac:dyDescent="0.25">
      <c r="J50" s="38">
        <f t="shared" si="3"/>
        <v>204</v>
      </c>
      <c r="M50" s="49">
        <v>104</v>
      </c>
      <c r="N50" s="25">
        <v>1</v>
      </c>
      <c r="O50" s="18">
        <v>-1</v>
      </c>
      <c r="P50" s="19">
        <v>1</v>
      </c>
      <c r="S50" s="39" t="str">
        <f t="shared" si="4"/>
        <v>1, -1, 1</v>
      </c>
      <c r="W50" s="39" t="s">
        <v>212</v>
      </c>
      <c r="AC50" s="39" t="str">
        <f t="shared" si="2"/>
        <v>104: (1, -1, 1),</v>
      </c>
      <c r="AD50" s="39" t="s">
        <v>209</v>
      </c>
    </row>
    <row r="51" spans="7:30" x14ac:dyDescent="0.25">
      <c r="J51" s="38">
        <f t="shared" si="3"/>
        <v>205</v>
      </c>
      <c r="M51" s="49">
        <v>105</v>
      </c>
      <c r="N51" s="25">
        <v>-1</v>
      </c>
      <c r="O51" s="18">
        <v>-1</v>
      </c>
      <c r="P51" s="19">
        <v>1</v>
      </c>
      <c r="S51" s="39" t="str">
        <f t="shared" si="4"/>
        <v>-1, -1, 1</v>
      </c>
      <c r="W51" s="39" t="s">
        <v>213</v>
      </c>
      <c r="AC51" s="39" t="str">
        <f t="shared" si="2"/>
        <v>105: (-1, -1, 1),</v>
      </c>
      <c r="AD51" s="39" t="s">
        <v>210</v>
      </c>
    </row>
    <row r="52" spans="7:30" x14ac:dyDescent="0.25">
      <c r="J52" s="38">
        <f t="shared" si="3"/>
        <v>206</v>
      </c>
      <c r="M52" s="49">
        <v>106</v>
      </c>
      <c r="N52" s="25">
        <v>-1</v>
      </c>
      <c r="O52" s="18">
        <v>-1</v>
      </c>
      <c r="P52" s="19">
        <v>-1</v>
      </c>
      <c r="S52" s="39" t="str">
        <f t="shared" si="4"/>
        <v>-1, -1, -1</v>
      </c>
      <c r="W52" s="39" t="s">
        <v>214</v>
      </c>
      <c r="AC52" s="39" t="str">
        <f t="shared" si="2"/>
        <v>106: (-1, -1, -1),</v>
      </c>
      <c r="AD52" s="39" t="s">
        <v>211</v>
      </c>
    </row>
    <row r="53" spans="7:30" ht="15.75" thickBot="1" x14ac:dyDescent="0.3">
      <c r="J53" s="38">
        <f t="shared" si="3"/>
        <v>207</v>
      </c>
      <c r="M53" s="50">
        <v>107</v>
      </c>
      <c r="N53" s="26">
        <v>1</v>
      </c>
      <c r="O53" s="20">
        <v>-1</v>
      </c>
      <c r="P53" s="21">
        <v>-1</v>
      </c>
      <c r="S53" s="39" t="str">
        <f t="shared" si="4"/>
        <v>1, -1, -1</v>
      </c>
      <c r="W53" s="39" t="s">
        <v>215</v>
      </c>
      <c r="AC53" s="39" t="str">
        <f t="shared" si="2"/>
        <v>107: (1, -1, -1),</v>
      </c>
    </row>
    <row r="59" spans="7:30" x14ac:dyDescent="0.25">
      <c r="H59" s="60" t="s">
        <v>157</v>
      </c>
      <c r="I59" s="60"/>
      <c r="J59" s="60"/>
      <c r="N59" s="60" t="s">
        <v>155</v>
      </c>
      <c r="O59" s="60"/>
      <c r="P59" s="60"/>
      <c r="U59" s="39" t="s">
        <v>153</v>
      </c>
      <c r="V59" s="39" t="s">
        <v>116</v>
      </c>
    </row>
    <row r="60" spans="7:30" x14ac:dyDescent="0.25">
      <c r="H60" s="37" t="s">
        <v>158</v>
      </c>
      <c r="N60" s="37" t="s">
        <v>156</v>
      </c>
      <c r="U60" s="39" t="s">
        <v>154</v>
      </c>
      <c r="V60" s="39" t="s">
        <v>117</v>
      </c>
    </row>
    <row r="61" spans="7:30" x14ac:dyDescent="0.25">
      <c r="H61" s="56" t="s">
        <v>145</v>
      </c>
      <c r="I61" s="56"/>
      <c r="J61" s="56"/>
      <c r="N61" s="56" t="s">
        <v>146</v>
      </c>
      <c r="O61" s="56"/>
      <c r="P61" s="56"/>
      <c r="V61" s="56" t="s">
        <v>147</v>
      </c>
      <c r="W61" s="56"/>
      <c r="X61" s="56"/>
    </row>
    <row r="62" spans="7:30" x14ac:dyDescent="0.25">
      <c r="H62" s="58" t="s">
        <v>86</v>
      </c>
      <c r="I62" s="58"/>
      <c r="J62" s="58"/>
      <c r="N62" s="58" t="s">
        <v>86</v>
      </c>
      <c r="O62" s="58"/>
      <c r="P62" s="58"/>
      <c r="V62" s="58" t="s">
        <v>86</v>
      </c>
      <c r="W62" s="58"/>
      <c r="X62" s="58"/>
    </row>
    <row r="63" spans="7:30" x14ac:dyDescent="0.25">
      <c r="H63" s="36">
        <v>-1</v>
      </c>
      <c r="I63" s="36">
        <v>0</v>
      </c>
      <c r="J63" s="36">
        <v>1</v>
      </c>
      <c r="N63" s="36">
        <v>1</v>
      </c>
      <c r="O63" s="36">
        <v>1</v>
      </c>
      <c r="P63" s="36">
        <v>1</v>
      </c>
      <c r="V63" s="36">
        <v>1</v>
      </c>
      <c r="W63" s="36">
        <v>1</v>
      </c>
      <c r="X63" s="36">
        <v>1</v>
      </c>
      <c r="AA63" s="39" t="s">
        <v>136</v>
      </c>
      <c r="AB63" s="39" t="s">
        <v>138</v>
      </c>
      <c r="AC63" s="39">
        <v>1</v>
      </c>
    </row>
    <row r="64" spans="7:30" x14ac:dyDescent="0.25">
      <c r="G64" s="39" t="s">
        <v>82</v>
      </c>
      <c r="H64" s="36">
        <v>-1</v>
      </c>
      <c r="I64" s="36"/>
      <c r="J64" s="36">
        <v>1</v>
      </c>
      <c r="K64" s="39" t="s">
        <v>76</v>
      </c>
      <c r="M64" s="39" t="s">
        <v>82</v>
      </c>
      <c r="N64" s="36">
        <v>0</v>
      </c>
      <c r="O64" s="36"/>
      <c r="P64" s="36">
        <v>0</v>
      </c>
      <c r="Q64" s="39" t="s">
        <v>76</v>
      </c>
      <c r="U64" s="39" t="s">
        <v>82</v>
      </c>
      <c r="V64" s="36">
        <v>1</v>
      </c>
      <c r="W64" s="36"/>
      <c r="X64" s="36">
        <v>1</v>
      </c>
      <c r="Y64" s="39" t="s">
        <v>76</v>
      </c>
      <c r="AA64" s="39" t="s">
        <v>137</v>
      </c>
      <c r="AB64" s="39" t="s">
        <v>138</v>
      </c>
      <c r="AC64" s="39">
        <v>-1</v>
      </c>
    </row>
    <row r="65" spans="7:40" x14ac:dyDescent="0.25">
      <c r="H65" s="36">
        <v>-1</v>
      </c>
      <c r="I65" s="36">
        <v>0</v>
      </c>
      <c r="J65" s="36">
        <v>1</v>
      </c>
      <c r="N65" s="36">
        <v>-1</v>
      </c>
      <c r="O65" s="36">
        <v>-1</v>
      </c>
      <c r="P65" s="36">
        <v>-1</v>
      </c>
      <c r="V65" s="36">
        <v>1</v>
      </c>
      <c r="W65" s="36">
        <v>1</v>
      </c>
      <c r="X65" s="36">
        <v>1</v>
      </c>
      <c r="AA65" s="39" t="s">
        <v>139</v>
      </c>
      <c r="AB65" s="39" t="s">
        <v>141</v>
      </c>
      <c r="AC65" s="39">
        <v>1</v>
      </c>
      <c r="AF65" s="59" t="s">
        <v>216</v>
      </c>
      <c r="AG65" s="59" t="s">
        <v>217</v>
      </c>
      <c r="AH65" s="59"/>
      <c r="AI65" s="59" t="s">
        <v>218</v>
      </c>
      <c r="AJ65" s="59" t="s">
        <v>217</v>
      </c>
      <c r="AK65" s="59"/>
      <c r="AL65" s="59" t="s">
        <v>219</v>
      </c>
      <c r="AM65" s="59" t="s">
        <v>217</v>
      </c>
      <c r="AN65" s="59"/>
    </row>
    <row r="66" spans="7:40" x14ac:dyDescent="0.25">
      <c r="AA66" s="39" t="s">
        <v>140</v>
      </c>
      <c r="AB66" s="39" t="s">
        <v>141</v>
      </c>
      <c r="AC66" s="39">
        <v>-1</v>
      </c>
      <c r="AF66" s="59"/>
      <c r="AG66" s="59"/>
      <c r="AH66" s="59"/>
      <c r="AI66" s="59"/>
      <c r="AJ66" s="59"/>
      <c r="AK66" s="59"/>
      <c r="AL66" s="59"/>
      <c r="AM66" s="59"/>
      <c r="AN66" s="59"/>
    </row>
    <row r="67" spans="7:40" x14ac:dyDescent="0.25">
      <c r="AA67" s="39" t="s">
        <v>142</v>
      </c>
      <c r="AB67" s="39" t="s">
        <v>144</v>
      </c>
      <c r="AC67" s="39">
        <v>1</v>
      </c>
      <c r="AF67" s="59"/>
      <c r="AG67" s="59"/>
      <c r="AH67" s="59"/>
      <c r="AI67" s="59"/>
      <c r="AJ67" s="59"/>
      <c r="AK67" s="59"/>
      <c r="AL67" s="59"/>
      <c r="AM67" s="59"/>
      <c r="AN67" s="59"/>
    </row>
    <row r="68" spans="7:40" x14ac:dyDescent="0.25">
      <c r="H68" s="58" t="s">
        <v>134</v>
      </c>
      <c r="I68" s="58"/>
      <c r="J68" s="58"/>
      <c r="N68" s="58" t="s">
        <v>134</v>
      </c>
      <c r="O68" s="58"/>
      <c r="P68" s="58"/>
      <c r="V68" s="58" t="s">
        <v>134</v>
      </c>
      <c r="W68" s="58"/>
      <c r="X68" s="58"/>
      <c r="AA68" s="39" t="s">
        <v>143</v>
      </c>
      <c r="AB68" s="39" t="s">
        <v>144</v>
      </c>
      <c r="AC68" s="39">
        <v>-1</v>
      </c>
      <c r="AF68" s="39" t="s">
        <v>138</v>
      </c>
      <c r="AG68" s="39" t="s">
        <v>141</v>
      </c>
      <c r="AH68" s="39" t="s">
        <v>144</v>
      </c>
      <c r="AI68" s="39" t="s">
        <v>138</v>
      </c>
      <c r="AJ68" s="39" t="s">
        <v>141</v>
      </c>
      <c r="AK68" s="39" t="s">
        <v>144</v>
      </c>
      <c r="AL68" s="39" t="s">
        <v>138</v>
      </c>
      <c r="AM68" s="39" t="s">
        <v>141</v>
      </c>
      <c r="AN68" s="39" t="s">
        <v>144</v>
      </c>
    </row>
    <row r="69" spans="7:40" x14ac:dyDescent="0.25">
      <c r="H69" s="36">
        <v>-1</v>
      </c>
      <c r="I69" s="36">
        <v>0</v>
      </c>
      <c r="J69" s="36">
        <v>1</v>
      </c>
      <c r="N69" s="36">
        <v>1</v>
      </c>
      <c r="O69" s="36">
        <v>1</v>
      </c>
      <c r="P69" s="36">
        <v>1</v>
      </c>
      <c r="V69" s="36">
        <v>-1</v>
      </c>
      <c r="W69" s="36">
        <v>-1</v>
      </c>
      <c r="X69" s="36">
        <v>-1</v>
      </c>
      <c r="AF69" s="39">
        <f t="shared" ref="AF69:AF70" si="5">H69</f>
        <v>-1</v>
      </c>
      <c r="AG69" s="39">
        <f t="shared" ref="AG69:AG70" si="6">N69</f>
        <v>1</v>
      </c>
      <c r="AH69" s="39">
        <f t="shared" ref="AH69:AH70" si="7">V69</f>
        <v>-1</v>
      </c>
      <c r="AI69" s="39">
        <f t="shared" ref="AI69:AI70" si="8">I69</f>
        <v>0</v>
      </c>
      <c r="AJ69" s="39">
        <f t="shared" ref="AJ69" si="9">O69</f>
        <v>1</v>
      </c>
      <c r="AK69" s="39">
        <f t="shared" ref="AK69:AK70" si="10">W69</f>
        <v>-1</v>
      </c>
      <c r="AL69" s="39">
        <f t="shared" ref="AL69:AL70" si="11">J69</f>
        <v>1</v>
      </c>
      <c r="AM69" s="39">
        <f t="shared" ref="AM69:AM70" si="12">P69</f>
        <v>1</v>
      </c>
      <c r="AN69" s="39">
        <f t="shared" ref="AN69:AN70" si="13">X69</f>
        <v>-1</v>
      </c>
    </row>
    <row r="70" spans="7:40" x14ac:dyDescent="0.25">
      <c r="G70" s="39" t="s">
        <v>82</v>
      </c>
      <c r="H70" s="36">
        <v>-1</v>
      </c>
      <c r="I70" s="36">
        <v>0</v>
      </c>
      <c r="J70" s="36">
        <v>1</v>
      </c>
      <c r="K70" s="39" t="s">
        <v>76</v>
      </c>
      <c r="M70" s="39" t="s">
        <v>82</v>
      </c>
      <c r="N70" s="36">
        <v>1</v>
      </c>
      <c r="O70" s="36">
        <v>1</v>
      </c>
      <c r="P70" s="36">
        <v>1</v>
      </c>
      <c r="Q70" s="39" t="s">
        <v>76</v>
      </c>
      <c r="U70" s="39" t="s">
        <v>82</v>
      </c>
      <c r="V70" s="36">
        <v>0</v>
      </c>
      <c r="W70" s="36">
        <v>0</v>
      </c>
      <c r="X70" s="36">
        <v>0</v>
      </c>
      <c r="Y70" s="39" t="s">
        <v>76</v>
      </c>
      <c r="AF70" s="39">
        <f t="shared" si="5"/>
        <v>-1</v>
      </c>
      <c r="AG70" s="39">
        <f t="shared" si="6"/>
        <v>1</v>
      </c>
      <c r="AH70" s="39">
        <f t="shared" si="7"/>
        <v>0</v>
      </c>
      <c r="AI70" s="39">
        <f t="shared" si="8"/>
        <v>0</v>
      </c>
      <c r="AJ70" s="39">
        <f>O70</f>
        <v>1</v>
      </c>
      <c r="AK70" s="39">
        <f t="shared" si="10"/>
        <v>0</v>
      </c>
      <c r="AL70" s="39">
        <f t="shared" si="11"/>
        <v>1</v>
      </c>
      <c r="AM70" s="39">
        <f t="shared" si="12"/>
        <v>1</v>
      </c>
      <c r="AN70" s="39">
        <f t="shared" si="13"/>
        <v>0</v>
      </c>
    </row>
    <row r="71" spans="7:40" x14ac:dyDescent="0.25">
      <c r="H71" s="36">
        <v>-1</v>
      </c>
      <c r="I71" s="36">
        <v>0</v>
      </c>
      <c r="J71" s="36">
        <v>1</v>
      </c>
      <c r="N71" s="36">
        <v>1</v>
      </c>
      <c r="O71" s="36">
        <v>1</v>
      </c>
      <c r="P71" s="36">
        <v>1</v>
      </c>
      <c r="V71" s="36">
        <v>1</v>
      </c>
      <c r="W71" s="36">
        <v>1</v>
      </c>
      <c r="X71" s="36">
        <v>1</v>
      </c>
      <c r="AF71" s="39">
        <f>H71</f>
        <v>-1</v>
      </c>
      <c r="AG71" s="39">
        <f>N71</f>
        <v>1</v>
      </c>
      <c r="AH71" s="39">
        <f>V71</f>
        <v>1</v>
      </c>
      <c r="AI71" s="39">
        <f>I71</f>
        <v>0</v>
      </c>
      <c r="AJ71" s="39">
        <f>O71</f>
        <v>1</v>
      </c>
      <c r="AK71" s="39">
        <f>W71</f>
        <v>1</v>
      </c>
      <c r="AL71" s="39">
        <f>J71</f>
        <v>1</v>
      </c>
      <c r="AM71" s="39">
        <f>P71</f>
        <v>1</v>
      </c>
      <c r="AN71" s="39">
        <f>X71</f>
        <v>1</v>
      </c>
    </row>
    <row r="73" spans="7:40" x14ac:dyDescent="0.25">
      <c r="H73" s="58" t="s">
        <v>148</v>
      </c>
      <c r="I73" s="58"/>
      <c r="J73" s="58"/>
      <c r="N73" s="58" t="s">
        <v>148</v>
      </c>
      <c r="O73" s="58"/>
      <c r="P73" s="58"/>
      <c r="V73" s="58" t="s">
        <v>148</v>
      </c>
      <c r="W73" s="58"/>
      <c r="X73" s="58"/>
    </row>
    <row r="74" spans="7:40" x14ac:dyDescent="0.25">
      <c r="H74" s="36">
        <v>1</v>
      </c>
      <c r="I74" s="36">
        <v>1</v>
      </c>
      <c r="J74" s="36">
        <v>1</v>
      </c>
      <c r="N74" s="36">
        <v>1</v>
      </c>
      <c r="O74" s="36">
        <v>1</v>
      </c>
      <c r="P74" s="36">
        <v>1</v>
      </c>
      <c r="V74" s="36">
        <v>-1</v>
      </c>
      <c r="W74" s="36">
        <v>0</v>
      </c>
      <c r="X74" s="36">
        <v>1</v>
      </c>
      <c r="AF74" s="39" t="str">
        <f>AF69&amp;", "&amp;AG69&amp;", "&amp;AH69</f>
        <v>-1, 1, -1</v>
      </c>
      <c r="AI74" s="39" t="str">
        <f t="shared" ref="AI74" si="14">AI69&amp;", "&amp;AJ69&amp;", "&amp;AK69</f>
        <v>0, 1, -1</v>
      </c>
      <c r="AL74" s="39" t="str">
        <f t="shared" ref="AL74:AL76" si="15">AL69&amp;", "&amp;AM69&amp;", "&amp;AN69</f>
        <v>1, 1, -1</v>
      </c>
    </row>
    <row r="75" spans="7:40" x14ac:dyDescent="0.25">
      <c r="G75" s="35" t="s">
        <v>135</v>
      </c>
      <c r="H75" s="36">
        <v>1</v>
      </c>
      <c r="I75" s="36"/>
      <c r="J75" s="36">
        <v>1</v>
      </c>
      <c r="K75" s="39" t="s">
        <v>86</v>
      </c>
      <c r="M75" s="35" t="s">
        <v>135</v>
      </c>
      <c r="N75" s="36">
        <v>0</v>
      </c>
      <c r="O75" s="36"/>
      <c r="P75" s="36">
        <v>0</v>
      </c>
      <c r="Q75" s="39" t="s">
        <v>86</v>
      </c>
      <c r="U75" s="35" t="s">
        <v>135</v>
      </c>
      <c r="V75" s="36">
        <v>-1</v>
      </c>
      <c r="W75" s="36"/>
      <c r="X75" s="36">
        <v>1</v>
      </c>
      <c r="Y75" s="39" t="s">
        <v>86</v>
      </c>
      <c r="AF75" s="39" t="str">
        <f>AF70&amp;", "&amp;AG70&amp;", "&amp;AH70</f>
        <v>-1, 1, 0</v>
      </c>
      <c r="AI75" s="39" t="str">
        <f t="shared" ref="AI75" si="16">AI70&amp;", "&amp;AJ70&amp;", "&amp;AK70</f>
        <v>0, 1, 0</v>
      </c>
      <c r="AL75" s="39" t="str">
        <f t="shared" si="15"/>
        <v>1, 1, 0</v>
      </c>
    </row>
    <row r="76" spans="7:40" x14ac:dyDescent="0.25">
      <c r="H76" s="36">
        <v>1</v>
      </c>
      <c r="I76" s="36">
        <v>1</v>
      </c>
      <c r="J76" s="36">
        <v>1</v>
      </c>
      <c r="N76" s="36">
        <v>-1</v>
      </c>
      <c r="O76" s="36">
        <v>-1</v>
      </c>
      <c r="P76" s="36">
        <v>-1</v>
      </c>
      <c r="V76" s="36">
        <v>-1</v>
      </c>
      <c r="W76" s="36">
        <v>0</v>
      </c>
      <c r="X76" s="36">
        <v>1</v>
      </c>
      <c r="AF76" s="39" t="str">
        <f>AF71&amp;", "&amp;AG71&amp;", "&amp;AH71</f>
        <v>-1, 1, 1</v>
      </c>
      <c r="AI76" s="39" t="str">
        <f t="shared" ref="AI76" si="17">AI71&amp;", "&amp;AJ71&amp;", "&amp;AK71</f>
        <v>0, 1, 1</v>
      </c>
      <c r="AL76" s="39" t="str">
        <f t="shared" si="15"/>
        <v>1, 1, 1</v>
      </c>
    </row>
    <row r="78" spans="7:40" x14ac:dyDescent="0.25">
      <c r="AE78" s="39" t="s">
        <v>90</v>
      </c>
      <c r="AF78" s="3" t="s">
        <v>149</v>
      </c>
      <c r="AG78" s="3" t="s">
        <v>138</v>
      </c>
      <c r="AH78" s="3" t="s">
        <v>141</v>
      </c>
      <c r="AI78" s="3" t="s">
        <v>144</v>
      </c>
      <c r="AJ78" s="3" t="s">
        <v>152</v>
      </c>
      <c r="AK78" s="3"/>
      <c r="AL78" s="3"/>
      <c r="AM78" s="3"/>
    </row>
    <row r="79" spans="7:40" x14ac:dyDescent="0.25">
      <c r="AE79" s="39" t="s">
        <v>150</v>
      </c>
      <c r="AG79" s="6">
        <v>0</v>
      </c>
      <c r="AH79" s="6">
        <v>0</v>
      </c>
      <c r="AI79" s="6">
        <v>0</v>
      </c>
      <c r="AJ79" s="39" t="s">
        <v>165</v>
      </c>
    </row>
    <row r="80" spans="7:40" x14ac:dyDescent="0.25">
      <c r="AE80" s="39" t="s">
        <v>151</v>
      </c>
      <c r="AG80" s="6">
        <v>1</v>
      </c>
      <c r="AH80" s="6">
        <v>0</v>
      </c>
      <c r="AI80" s="6">
        <v>0</v>
      </c>
      <c r="AJ80" s="39" t="s">
        <v>159</v>
      </c>
    </row>
    <row r="81" spans="31:36" x14ac:dyDescent="0.25">
      <c r="AE81" s="39" t="s">
        <v>151</v>
      </c>
      <c r="AG81" s="6">
        <v>-1</v>
      </c>
      <c r="AH81" s="6">
        <v>0</v>
      </c>
      <c r="AI81" s="6">
        <v>0</v>
      </c>
      <c r="AJ81" s="39" t="s">
        <v>160</v>
      </c>
    </row>
    <row r="82" spans="31:36" x14ac:dyDescent="0.25">
      <c r="AE82" s="39" t="s">
        <v>151</v>
      </c>
      <c r="AG82" s="6">
        <v>0</v>
      </c>
      <c r="AH82" s="6">
        <v>1</v>
      </c>
      <c r="AI82" s="6">
        <v>0</v>
      </c>
      <c r="AJ82" s="39" t="s">
        <v>161</v>
      </c>
    </row>
    <row r="83" spans="31:36" x14ac:dyDescent="0.25">
      <c r="AE83" s="39" t="s">
        <v>151</v>
      </c>
      <c r="AG83" s="6">
        <v>0</v>
      </c>
      <c r="AH83" s="6">
        <v>-1</v>
      </c>
      <c r="AI83" s="6">
        <v>0</v>
      </c>
      <c r="AJ83" s="39" t="s">
        <v>162</v>
      </c>
    </row>
    <row r="84" spans="31:36" x14ac:dyDescent="0.25">
      <c r="AE84" s="39" t="s">
        <v>151</v>
      </c>
      <c r="AG84" s="6">
        <v>0</v>
      </c>
      <c r="AH84" s="6">
        <v>0</v>
      </c>
      <c r="AI84" s="6">
        <v>1</v>
      </c>
      <c r="AJ84" s="39" t="s">
        <v>163</v>
      </c>
    </row>
    <row r="85" spans="31:36" x14ac:dyDescent="0.25">
      <c r="AE85" s="39" t="s">
        <v>151</v>
      </c>
      <c r="AG85" s="6">
        <v>0</v>
      </c>
      <c r="AH85" s="6">
        <v>0</v>
      </c>
      <c r="AI85" s="6">
        <v>-1</v>
      </c>
      <c r="AJ85" s="39" t="s">
        <v>164</v>
      </c>
    </row>
    <row r="86" spans="31:36" x14ac:dyDescent="0.25">
      <c r="AE86" s="39" t="s">
        <v>166</v>
      </c>
      <c r="AF86" s="39">
        <v>0</v>
      </c>
      <c r="AG86" s="6">
        <v>1</v>
      </c>
      <c r="AH86" s="6">
        <v>1</v>
      </c>
      <c r="AI86" s="6">
        <v>1</v>
      </c>
      <c r="AJ86" s="39" t="s">
        <v>168</v>
      </c>
    </row>
    <row r="87" spans="31:36" x14ac:dyDescent="0.25">
      <c r="AE87" s="39" t="s">
        <v>166</v>
      </c>
      <c r="AF87" s="39">
        <v>1</v>
      </c>
      <c r="AG87" s="6">
        <v>-1</v>
      </c>
      <c r="AH87" s="6">
        <v>1</v>
      </c>
      <c r="AI87" s="6">
        <v>1</v>
      </c>
      <c r="AJ87" s="39" t="s">
        <v>170</v>
      </c>
    </row>
    <row r="88" spans="31:36" x14ac:dyDescent="0.25">
      <c r="AE88" s="39" t="s">
        <v>166</v>
      </c>
      <c r="AF88" s="39">
        <v>2</v>
      </c>
      <c r="AG88" s="6">
        <v>-1</v>
      </c>
      <c r="AH88" s="6">
        <v>-1</v>
      </c>
      <c r="AI88" s="6">
        <v>1</v>
      </c>
      <c r="AJ88" s="39" t="s">
        <v>172</v>
      </c>
    </row>
    <row r="89" spans="31:36" x14ac:dyDescent="0.25">
      <c r="AE89" s="39" t="s">
        <v>166</v>
      </c>
      <c r="AF89" s="39">
        <v>3</v>
      </c>
      <c r="AG89" s="6">
        <v>1</v>
      </c>
      <c r="AH89" s="6">
        <v>-1</v>
      </c>
      <c r="AI89" s="6">
        <v>1</v>
      </c>
      <c r="AJ89" s="39" t="s">
        <v>174</v>
      </c>
    </row>
    <row r="90" spans="31:36" x14ac:dyDescent="0.25">
      <c r="AE90" s="39" t="s">
        <v>166</v>
      </c>
      <c r="AF90" s="39">
        <v>4</v>
      </c>
      <c r="AG90" s="6">
        <v>1</v>
      </c>
      <c r="AH90" s="6">
        <v>1</v>
      </c>
      <c r="AI90" s="6">
        <v>-1</v>
      </c>
      <c r="AJ90" s="39" t="s">
        <v>176</v>
      </c>
    </row>
    <row r="91" spans="31:36" x14ac:dyDescent="0.25">
      <c r="AE91" s="39" t="s">
        <v>166</v>
      </c>
      <c r="AF91" s="39">
        <v>5</v>
      </c>
      <c r="AG91" s="6">
        <v>-1</v>
      </c>
      <c r="AH91" s="6">
        <v>1</v>
      </c>
      <c r="AI91" s="6">
        <v>-1</v>
      </c>
      <c r="AJ91" s="39" t="s">
        <v>178</v>
      </c>
    </row>
    <row r="92" spans="31:36" x14ac:dyDescent="0.25">
      <c r="AE92" s="39" t="s">
        <v>166</v>
      </c>
      <c r="AF92" s="39">
        <v>6</v>
      </c>
      <c r="AG92" s="6">
        <v>-1</v>
      </c>
      <c r="AH92" s="6">
        <v>-1</v>
      </c>
      <c r="AI92" s="6">
        <v>-1</v>
      </c>
      <c r="AJ92" s="39" t="s">
        <v>180</v>
      </c>
    </row>
    <row r="93" spans="31:36" x14ac:dyDescent="0.25">
      <c r="AE93" s="39" t="s">
        <v>166</v>
      </c>
      <c r="AF93" s="39">
        <v>7</v>
      </c>
      <c r="AG93" s="6">
        <v>1</v>
      </c>
      <c r="AH93" s="6">
        <v>-1</v>
      </c>
      <c r="AI93" s="6">
        <v>-1</v>
      </c>
      <c r="AJ93" s="39" t="s">
        <v>182</v>
      </c>
    </row>
    <row r="94" spans="31:36" x14ac:dyDescent="0.25">
      <c r="AE94" s="39" t="s">
        <v>167</v>
      </c>
      <c r="AF94" s="6">
        <v>0</v>
      </c>
      <c r="AG94" s="6">
        <v>0</v>
      </c>
      <c r="AH94" s="6">
        <v>1</v>
      </c>
      <c r="AI94" s="6">
        <v>1</v>
      </c>
      <c r="AJ94" s="39" t="s">
        <v>169</v>
      </c>
    </row>
    <row r="95" spans="31:36" x14ac:dyDescent="0.25">
      <c r="AE95" s="39" t="s">
        <v>167</v>
      </c>
      <c r="AF95" s="6">
        <v>1</v>
      </c>
      <c r="AG95" s="6">
        <v>-1</v>
      </c>
      <c r="AH95" s="6">
        <v>0</v>
      </c>
      <c r="AI95" s="6">
        <v>1</v>
      </c>
      <c r="AJ95" s="39" t="s">
        <v>171</v>
      </c>
    </row>
    <row r="96" spans="31:36" x14ac:dyDescent="0.25">
      <c r="AE96" s="39" t="s">
        <v>167</v>
      </c>
      <c r="AF96" s="6">
        <v>2</v>
      </c>
      <c r="AG96" s="6">
        <v>0</v>
      </c>
      <c r="AH96" s="6">
        <v>-1</v>
      </c>
      <c r="AI96" s="6">
        <v>1</v>
      </c>
      <c r="AJ96" s="39" t="s">
        <v>173</v>
      </c>
    </row>
    <row r="97" spans="31:36" x14ac:dyDescent="0.25">
      <c r="AE97" s="39" t="s">
        <v>167</v>
      </c>
      <c r="AF97" s="6">
        <v>3</v>
      </c>
      <c r="AG97" s="6">
        <v>1</v>
      </c>
      <c r="AH97" s="6">
        <v>0</v>
      </c>
      <c r="AI97" s="6">
        <v>1</v>
      </c>
      <c r="AJ97" s="39" t="s">
        <v>175</v>
      </c>
    </row>
    <row r="98" spans="31:36" x14ac:dyDescent="0.25">
      <c r="AE98" s="39" t="s">
        <v>167</v>
      </c>
      <c r="AF98" s="6">
        <v>4</v>
      </c>
      <c r="AG98" s="6">
        <v>1</v>
      </c>
      <c r="AH98" s="6">
        <v>-1</v>
      </c>
      <c r="AI98" s="6">
        <v>0</v>
      </c>
      <c r="AJ98" s="39" t="s">
        <v>183</v>
      </c>
    </row>
    <row r="99" spans="31:36" x14ac:dyDescent="0.25">
      <c r="AE99" s="39" t="s">
        <v>167</v>
      </c>
      <c r="AF99" s="6">
        <v>5</v>
      </c>
      <c r="AG99" s="6">
        <v>-1</v>
      </c>
      <c r="AH99" s="6">
        <v>-1</v>
      </c>
      <c r="AI99" s="6">
        <v>0</v>
      </c>
      <c r="AJ99" s="39" t="s">
        <v>184</v>
      </c>
    </row>
    <row r="100" spans="31:36" x14ac:dyDescent="0.25">
      <c r="AE100" s="39" t="s">
        <v>167</v>
      </c>
      <c r="AF100" s="6">
        <v>6</v>
      </c>
      <c r="AG100" s="6">
        <v>-1</v>
      </c>
      <c r="AH100" s="6">
        <v>1</v>
      </c>
      <c r="AI100" s="6">
        <v>0</v>
      </c>
      <c r="AJ100" s="39" t="s">
        <v>185</v>
      </c>
    </row>
    <row r="101" spans="31:36" x14ac:dyDescent="0.25">
      <c r="AE101" s="39" t="s">
        <v>167</v>
      </c>
      <c r="AF101" s="6">
        <v>7</v>
      </c>
      <c r="AG101" s="6">
        <v>1</v>
      </c>
      <c r="AH101" s="6">
        <v>1</v>
      </c>
      <c r="AI101" s="6">
        <v>0</v>
      </c>
      <c r="AJ101" s="39" t="s">
        <v>186</v>
      </c>
    </row>
    <row r="102" spans="31:36" x14ac:dyDescent="0.25">
      <c r="AE102" s="39" t="s">
        <v>167</v>
      </c>
      <c r="AF102" s="6">
        <v>8</v>
      </c>
      <c r="AG102" s="6">
        <v>0</v>
      </c>
      <c r="AH102" s="6">
        <v>1</v>
      </c>
      <c r="AI102" s="6">
        <v>-1</v>
      </c>
      <c r="AJ102" s="39" t="s">
        <v>177</v>
      </c>
    </row>
    <row r="103" spans="31:36" x14ac:dyDescent="0.25">
      <c r="AE103" s="39" t="s">
        <v>167</v>
      </c>
      <c r="AF103" s="6">
        <v>9</v>
      </c>
      <c r="AG103" s="6">
        <v>-1</v>
      </c>
      <c r="AH103" s="6">
        <v>0</v>
      </c>
      <c r="AI103" s="6">
        <v>-1</v>
      </c>
      <c r="AJ103" s="39" t="s">
        <v>179</v>
      </c>
    </row>
    <row r="104" spans="31:36" x14ac:dyDescent="0.25">
      <c r="AE104" s="39" t="s">
        <v>167</v>
      </c>
      <c r="AF104" s="6">
        <v>10</v>
      </c>
      <c r="AG104" s="6">
        <v>0</v>
      </c>
      <c r="AH104" s="6">
        <v>-1</v>
      </c>
      <c r="AI104" s="6">
        <v>-1</v>
      </c>
      <c r="AJ104" s="39" t="s">
        <v>181</v>
      </c>
    </row>
    <row r="105" spans="31:36" x14ac:dyDescent="0.25">
      <c r="AE105" s="39" t="s">
        <v>167</v>
      </c>
      <c r="AF105" s="6">
        <v>11</v>
      </c>
      <c r="AG105" s="6">
        <v>1</v>
      </c>
      <c r="AH105" s="6">
        <v>0</v>
      </c>
      <c r="AI105" s="6">
        <v>-1</v>
      </c>
      <c r="AJ105" s="39" t="s">
        <v>187</v>
      </c>
    </row>
  </sheetData>
  <mergeCells count="53">
    <mergeCell ref="AM65:AM67"/>
    <mergeCell ref="AN65:AN67"/>
    <mergeCell ref="AG65:AG67"/>
    <mergeCell ref="AH65:AH67"/>
    <mergeCell ref="AI65:AI67"/>
    <mergeCell ref="AJ65:AJ67"/>
    <mergeCell ref="AK65:AK67"/>
    <mergeCell ref="AL65:AL67"/>
    <mergeCell ref="AF65:AF67"/>
    <mergeCell ref="A21:F21"/>
    <mergeCell ref="A22:F22"/>
    <mergeCell ref="A23:F23"/>
    <mergeCell ref="A24:F24"/>
    <mergeCell ref="A25:F25"/>
    <mergeCell ref="A26:F26"/>
    <mergeCell ref="N59:P59"/>
    <mergeCell ref="H59:J59"/>
    <mergeCell ref="A27:F27"/>
    <mergeCell ref="A28:F28"/>
    <mergeCell ref="A29:F29"/>
    <mergeCell ref="A30:F30"/>
    <mergeCell ref="A31:F31"/>
    <mergeCell ref="A15:F15"/>
    <mergeCell ref="A16:F16"/>
    <mergeCell ref="A17:F17"/>
    <mergeCell ref="A18:F18"/>
    <mergeCell ref="A19:F19"/>
    <mergeCell ref="A10:F10"/>
    <mergeCell ref="A11:F11"/>
    <mergeCell ref="A12:F12"/>
    <mergeCell ref="A13:F13"/>
    <mergeCell ref="A14:F14"/>
    <mergeCell ref="A2:F2"/>
    <mergeCell ref="A3:F3"/>
    <mergeCell ref="A4:F4"/>
    <mergeCell ref="A5:F5"/>
    <mergeCell ref="A6:F6"/>
    <mergeCell ref="A7:F7"/>
    <mergeCell ref="A8:F8"/>
    <mergeCell ref="V62:X62"/>
    <mergeCell ref="V68:X68"/>
    <mergeCell ref="V73:X73"/>
    <mergeCell ref="H61:J61"/>
    <mergeCell ref="N61:P61"/>
    <mergeCell ref="V61:X61"/>
    <mergeCell ref="H62:J62"/>
    <mergeCell ref="H68:J68"/>
    <mergeCell ref="H73:J73"/>
    <mergeCell ref="N62:P62"/>
    <mergeCell ref="N68:P68"/>
    <mergeCell ref="N73:P73"/>
    <mergeCell ref="A20:F20"/>
    <mergeCell ref="A9:F9"/>
  </mergeCells>
  <phoneticPr fontId="6" type="noConversion"/>
  <pageMargins left="0.7" right="0.7" top="0.78740157499999996" bottom="0.78740157499999996"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CFOP (Fridrich)</vt:lpstr>
      <vt:lpstr>BitMapping</vt:lpstr>
      <vt:lpstr>Orientierung</vt:lpstr>
      <vt:lpstr>Begriffe</vt:lpstr>
      <vt:lpstr>Moves</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 Bogner</cp:lastModifiedBy>
  <dcterms:created xsi:type="dcterms:W3CDTF">2015-06-05T18:19:34Z</dcterms:created>
  <dcterms:modified xsi:type="dcterms:W3CDTF">2026-05-15T21:58:21Z</dcterms:modified>
</cp:coreProperties>
</file>